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urly Labor Rates" sheetId="1" r:id="rId5"/>
    <sheet state="visible" name="Service Rates" sheetId="2" r:id="rId6"/>
    <sheet state="visible" name="Recurring Fee Structure" sheetId="3" r:id="rId7"/>
    <sheet state="visible" name="Complexity Multipliers" sheetId="4" r:id="rId8"/>
    <sheet state="visible" name="Common Packages" sheetId="5" r:id="rId9"/>
    <sheet state="visible" name="Material Categories and Labor U" sheetId="6" r:id="rId10"/>
    <sheet state="visible" name="Shop Supplies and Consumables" sheetId="7" r:id="rId11"/>
    <sheet state="visible" name="Summary" sheetId="8" r:id="rId12"/>
    <sheet state="hidden" name="Version Log" sheetId="9" r:id="rId13"/>
  </sheets>
  <definedNames/>
  <calcPr/>
</workbook>
</file>

<file path=xl/sharedStrings.xml><?xml version="1.0" encoding="utf-8"?>
<sst xmlns="http://schemas.openxmlformats.org/spreadsheetml/2006/main" count="888" uniqueCount="598">
  <si>
    <t>Labor Burden and Billing Rate Inputs</t>
  </si>
  <si>
    <t>Burden</t>
  </si>
  <si>
    <t>Commercial Billing</t>
  </si>
  <si>
    <t>After Hours</t>
  </si>
  <si>
    <t>Holiday</t>
  </si>
  <si>
    <t>Position Title</t>
  </si>
  <si>
    <t>SKU</t>
  </si>
  <si>
    <t>Base Hourly Rate</t>
  </si>
  <si>
    <t>Actual Cost of Labor</t>
  </si>
  <si>
    <t>Standard Billing Rate</t>
  </si>
  <si>
    <t>After Hours and Emergency Rate</t>
  </si>
  <si>
    <t>Holiday Rate</t>
  </si>
  <si>
    <t>Labor Rate Percentage</t>
  </si>
  <si>
    <t>Tech 1 and 2</t>
  </si>
  <si>
    <t>LAB-COM-T12-SIS</t>
  </si>
  <si>
    <t>Senior Technician</t>
  </si>
  <si>
    <t>LAB-COM-SRT-SIS</t>
  </si>
  <si>
    <t>Programmer</t>
  </si>
  <si>
    <t>LAB-COM-PRG-SIS</t>
  </si>
  <si>
    <t>Project Manager</t>
  </si>
  <si>
    <t>LAB-COM-PMG-SIS</t>
  </si>
  <si>
    <t>Service Technician</t>
  </si>
  <si>
    <t>LAB-COM-SVC-SIS</t>
  </si>
  <si>
    <t>Total Project Labor Percentage</t>
  </si>
  <si>
    <t>Notes Block</t>
  </si>
  <si>
    <t>1. Burden multiplier covers taxes, benefits, and overhead.</t>
  </si>
  <si>
    <t>2. Commercial Billing multiplier is applied to the actual cost of labor.</t>
  </si>
  <si>
    <t>3. After Hours and Holiday multipliers are applied to the standard billing rate.</t>
  </si>
  <si>
    <t>4. Service Technician labor is billed separately and not included in standard project labor percentage.</t>
  </si>
  <si>
    <t>Service Rate Inputs</t>
  </si>
  <si>
    <t>Standard Tech Billing Rate</t>
  </si>
  <si>
    <t>After Hours Rate</t>
  </si>
  <si>
    <t>Mileage Rate Per Mile</t>
  </si>
  <si>
    <t>Minimum Billable Hours Standard</t>
  </si>
  <si>
    <t>Minimum Billable Hours After Hours</t>
  </si>
  <si>
    <t>Service Item</t>
  </si>
  <si>
    <t>Unit</t>
  </si>
  <si>
    <t>Standard Rate</t>
  </si>
  <si>
    <t>Notes</t>
  </si>
  <si>
    <t>Standard Service Call - Minimum</t>
  </si>
  <si>
    <t>SVC-STD-MIN</t>
  </si>
  <si>
    <t>EACH</t>
  </si>
  <si>
    <t>Covers minimum billable hours.</t>
  </si>
  <si>
    <t>Standard Service Labor - Hourly</t>
  </si>
  <si>
    <t>SVC-STD-HR</t>
  </si>
  <si>
    <t>HOUR</t>
  </si>
  <si>
    <t>Billed after minimum hours are met.</t>
  </si>
  <si>
    <t>Emergency Service Call - Minimum</t>
  </si>
  <si>
    <t>SVC-EMG-MIN</t>
  </si>
  <si>
    <t>Emergency Service Labor - Hourly</t>
  </si>
  <si>
    <t>SVC-EMG-HR</t>
  </si>
  <si>
    <t>Remote Support - Hourly</t>
  </si>
  <si>
    <t>SVC-REM-HR</t>
  </si>
  <si>
    <t>Minimum 1 hour billed.</t>
  </si>
  <si>
    <t>Travel Labor - Hourly</t>
  </si>
  <si>
    <t>SVC-TRV-HR</t>
  </si>
  <si>
    <t>Travel time billed at 50% rate.</t>
  </si>
  <si>
    <t>Mileage Charge</t>
  </si>
  <si>
    <t>SVC-MIL-MI</t>
  </si>
  <si>
    <t>MILEAGE</t>
  </si>
  <si>
    <t>Per mile charge.</t>
  </si>
  <si>
    <t>Boom/Lift Rental</t>
  </si>
  <si>
    <t>SVC-EQP-LIFT</t>
  </si>
  <si>
    <t>DAY</t>
  </si>
  <si>
    <t>Standard daily lift charge.</t>
  </si>
  <si>
    <t>Boom/Lift Weekly Rental</t>
  </si>
  <si>
    <t>SVC-EQP-LIFT-WK</t>
  </si>
  <si>
    <t>WEEK</t>
  </si>
  <si>
    <t>Standard weekly lift charge.</t>
  </si>
  <si>
    <t>Consumables/Materials</t>
  </si>
  <si>
    <t>SVC-MAT-CON</t>
  </si>
  <si>
    <t>LOT</t>
  </si>
  <si>
    <t>Basic consumables used during service.</t>
  </si>
  <si>
    <t>1. All service calls are subject to the minimum billable hours.</t>
  </si>
  <si>
    <t>2. Standard business hours are Monday through Friday, 8:00 AM to 5:00 PM.</t>
  </si>
  <si>
    <t>3. After hours rates apply to weekends, holidays, and outside standard business hours.</t>
  </si>
  <si>
    <t>4. Travel time is billed door-to-door from the Smoky Peak office.</t>
  </si>
  <si>
    <t>5. Mileage is charged for all service calls outside a 30-mile radius.</t>
  </si>
  <si>
    <t>6. Parts and materials are billed separately from labor.</t>
  </si>
  <si>
    <t>Recurring Fee Inputs</t>
  </si>
  <si>
    <t>Standard Markup Percentage</t>
  </si>
  <si>
    <t>Service Description</t>
  </si>
  <si>
    <t>Base Cost</t>
  </si>
  <si>
    <t>Direct Purchase Rate</t>
  </si>
  <si>
    <t>SMA Bundled Rate</t>
  </si>
  <si>
    <t>Billing Cycle</t>
  </si>
  <si>
    <t>Annual Maintenance Agreement - System Value $500-$5,000</t>
  </si>
  <si>
    <t>REC-AMA-TR1-ANN</t>
  </si>
  <si>
    <t>YEAR</t>
  </si>
  <si>
    <t>Annual</t>
  </si>
  <si>
    <t>Base Rate for annual maintenance agreements. Covers only standard maintence and updates. Bank of hours, and System cost percentages stack on top of the base rate. Tier 1 System Value not to Exceed $5,000</t>
  </si>
  <si>
    <t>Annual Maintenance Agreement - System Value $5,000-$10,000</t>
  </si>
  <si>
    <t>REC-AMA-TR2-ANN</t>
  </si>
  <si>
    <t>Base Rate for annual maintenance agreements. Covers only standard maintence and updates. Bank of hours, and System cost percentages stack on top of the base rate. Tier 2 System Value not to Exceed $10,000</t>
  </si>
  <si>
    <t>Annual Maintenance Agreement - System Value $10,000-$18,000</t>
  </si>
  <si>
    <t>REC-AMA-TR3-ANN</t>
  </si>
  <si>
    <t>Base Rate for annual maintenance agreements. Covers only standard maintence and updates. Bank of hours, and System cost percentages stack on top of the base rate. Tier 3 System Value not to Exceed $18,000</t>
  </si>
  <si>
    <t>Annual Maintenance Agreement - System Value $18,000-$30,000</t>
  </si>
  <si>
    <t>REC-AMA-TR4-ANN</t>
  </si>
  <si>
    <t>Base Rate for annual maintenance agreements. Covers only standard maintence and updates. Bank of hours, and System cost percentages stack on top of the base rate. Tier 4 System Value not to Exceed $30,000</t>
  </si>
  <si>
    <t>Annual Maintenance Agreement - System Value $30,000&lt;</t>
  </si>
  <si>
    <t>REC-AMA-TR5-ANN</t>
  </si>
  <si>
    <t>Base Rate for annual maintenance agreements. Covers only standard maintence and updates. Bank of hours, and System cost percentages stack on top of the base rate. Tier 5 System Value exceeds $30,000</t>
  </si>
  <si>
    <t>Monthly Monitoring Service</t>
  </si>
  <si>
    <t>REC-MON-MON</t>
  </si>
  <si>
    <t>MONTH</t>
  </si>
  <si>
    <t>Monthly</t>
  </si>
  <si>
    <t>24/7 system monitoring provided through a 3rd party monitoring company</t>
  </si>
  <si>
    <t>Cloud Storage Backup</t>
  </si>
  <si>
    <t>REC-CLD-STG-MON</t>
  </si>
  <si>
    <t>1TB cloud storage backup. Use for System images, evidence locked footage, or additional recording space</t>
  </si>
  <si>
    <t>Cloud Door Access Hosting (Per Door)</t>
  </si>
  <si>
    <t>REC-CLD-ACP-MON</t>
  </si>
  <si>
    <t>Cloud hosting for Access Control System. Per door rate</t>
  </si>
  <si>
    <t>Cloud VMS Hosting (Per Camera)</t>
  </si>
  <si>
    <t>REC-CLD-VMS-MON</t>
  </si>
  <si>
    <t>Cloud hosting for Video Management System. Per camera rate. Each camera include 45 days of recording storage at 15FPS 1080P</t>
  </si>
  <si>
    <t xml:space="preserve">SMA Bank of Hours </t>
  </si>
  <si>
    <t>REC-LAB-BOH-ANN</t>
  </si>
  <si>
    <t>Bank of Hours available for pre purchase to cover labor costs for covered service items in SMA Contracts. Bank of hours do not roll over any unused hour are forfitted at contract renewal</t>
  </si>
  <si>
    <t>SMA System Value Modifier</t>
  </si>
  <si>
    <t>REC-SMA_SVM-ANN</t>
  </si>
  <si>
    <t>The System Value Modifier is a percentage applied to the total material value of the covered system and is stacked on top of the Base SMA Rate. For systems installed by Smoky Peak the material cost at time of install is used as the valuation basis. For inherited systems or systems exceeding five years of age the valuation is determined by current market direct replacement cost for all covered equipment. System valuations are reviewed and updated every five years or at contract renewal following a system revaluation. The SVM percentage varies by purchase type and is applied annually as part of the total SMA calculation.</t>
  </si>
  <si>
    <t>1. Standard markup percentage is applied to the base cost to determine the direct purchase rate.</t>
  </si>
  <si>
    <t>2. SMA Bundled Rate applies when the service is purchased as part of a Service Maintenance Agreement.</t>
  </si>
  <si>
    <t>3. Billing cycles are strictly enforced as specified per item.</t>
  </si>
  <si>
    <t>4. Base costs are subject to change based on vendor pricing and inflation.</t>
  </si>
  <si>
    <t>5. All recurring fees are non-refundable once billed.</t>
  </si>
  <si>
    <t>Description</t>
  </si>
  <si>
    <t>Multiplier Category</t>
  </si>
  <si>
    <t>Multiplier Type</t>
  </si>
  <si>
    <t>Applied To</t>
  </si>
  <si>
    <t>Modification Rate</t>
  </si>
  <si>
    <t>Notes and Rules</t>
  </si>
  <si>
    <t>Existing Conduit Reuse</t>
  </si>
  <si>
    <t>Structural</t>
  </si>
  <si>
    <t>Percentage Basis</t>
  </si>
  <si>
    <t>Total Labor Cost</t>
  </si>
  <si>
    <t>Applied when existing conduit must be used for new cable runs requiring pull string retrieval, conduit inspection, and potential reaming or cleaning prior to installation. Reflects increased labor time associated with working within existing pathway infrastructure.</t>
  </si>
  <si>
    <t>High Ceiling or Elevated Work Areas</t>
  </si>
  <si>
    <t>Applied when installation requires work at heights exceeding standard ladder reach including but not limited to scissor lift, boom lift, or scaffolding required installations. Reflects increased setup time, equipment requirements, and safety compliance demands on elevated work.</t>
  </si>
  <si>
    <t>Confined Space Access</t>
  </si>
  <si>
    <t>Applied when installation requires access to confined spaces including crawl spaces, ceiling plenums with restricted clearance, mechanical rooms with limited entry, or below grade spaces requiring special access procedures. Reflects increased physical demands and time associated with confined space work.</t>
  </si>
  <si>
    <t>After Hours Required Installation</t>
  </si>
  <si>
    <t>Access</t>
  </si>
  <si>
    <t>Applied when the client requires installation to occur outside of standard business hours due to operational requirements. Reflects premium labor cost associated with after hours scheduling and technician availability. Applied to total labor cost in addition to standard after hours labor rates.</t>
  </si>
  <si>
    <t>Occupied Building Restrictions</t>
  </si>
  <si>
    <t>Applied when installation must be performed within an occupied and actively operating building requiring noise restrictions, phased access, coordinated scheduling around tenant operations, or additional protection of existing finishes and furnishings.</t>
  </si>
  <si>
    <t>Multi-Floor or Multi-Building Campus</t>
  </si>
  <si>
    <t>Applied when the project scope spans multiple floors within a single building or multiple buildings within a campus environment. Reflects increased mobilization time, material staging complexity, and coordination demands across distributed work areas.</t>
  </si>
  <si>
    <t>Prevailing Wage Requirements</t>
  </si>
  <si>
    <t>Compliance</t>
  </si>
  <si>
    <t>Applied when the project is subject to prevailing wage requirements under federal or state contract regulations. Reflects the increased labor cost associated with prevailing wage rates above standard market billing rates for East Tennessee.</t>
  </si>
  <si>
    <t>Data Center or Cleanroom Environment</t>
  </si>
  <si>
    <t>Applied when installation occurs within a data center, server room, or cleanroom environment requiring strict protocols for dust control, electrostatic discharge prevention, equipment protection, and access credentialing. Reflects the increased complexity, preparation time, and compliance requirements of working in sensitive environments.</t>
  </si>
  <si>
    <t>Historical or Protected Building Restrictions</t>
  </si>
  <si>
    <t>Applied when installation occurs within a historically designated or architecturally protected building requiring non-destructive installation methods, special fastening systems, preservation of existing finishes, and potential coordination with preservation authorities. Reflects the significantly increased labor time and material cost associated with compliant installation in protected structures.</t>
  </si>
  <si>
    <t xml:space="preserve">Escort or Access Limitations </t>
  </si>
  <si>
    <t>Applied when site access requires credentialed escort personnel, security clearance verification, badging procedures, or scheduled access windows that limit technician movement throughout the facility. Includes government buildings, correctional facilities, and healthcare facilities with secure wing requirements. Reflects the increased labor time associated with access delays, mandatory escort wait times, and restricted scheduling throughout the visit.</t>
  </si>
  <si>
    <t>1. All complexity multipliers on this tab are percentage based and are applied to the total labor cost of the project not the total project value</t>
  </si>
  <si>
    <t>2. Multiple multipliers may apply to a single project and are each calculated independently against the total labor cost then summed</t>
  </si>
  <si>
    <t>3. No multipliers are capped. Each applicable multiplier is applied in full regardless of how many are active on a single project</t>
  </si>
  <si>
    <t>4. Multiplier rates are reviewed annually and updated to reflect current market and operational conditions</t>
  </si>
  <si>
    <t>5. All applicable multipliers must be identified and documented at time of quoting and included in the project proposal presented to the client</t>
  </si>
  <si>
    <t>Package Name</t>
  </si>
  <si>
    <t>Package Description</t>
  </si>
  <si>
    <t>Included Scope</t>
  </si>
  <si>
    <t>Labor Hours Estimate</t>
  </si>
  <si>
    <t>Single Door Access Control Package</t>
  </si>
  <si>
    <t>PKG-ACC-1DR-SIS</t>
  </si>
  <si>
    <t>Complete single door access control installation</t>
  </si>
  <si>
    <t>controller, reader, request to exit device, door contact, and power supply. Does not include electric strike or mag lock hardware which is quoted separately based on door type.</t>
  </si>
  <si>
    <t>8 to 12 hours</t>
  </si>
  <si>
    <t>Most commonly quoted as entry level access control. Hardware quoted separately at time of proposal based on client door hardware specifications.</t>
  </si>
  <si>
    <t>Two Door Access Control Package</t>
  </si>
  <si>
    <t>PKG-ACC-2DR-SIS</t>
  </si>
  <si>
    <t>Complete two door access control installation</t>
  </si>
  <si>
    <t>controllers, readers, request to exit devices, door contacts, and power supplies. Does not include electric strikes or mag locks which are quoted separately based on door type.</t>
  </si>
  <si>
    <t>14 to 20 hours</t>
  </si>
  <si>
    <t>Preferred starting package for clients requiring multi-point access management. Hardware quoted separately at time of proposal.</t>
  </si>
  <si>
    <t>Bundled Camera System Package</t>
  </si>
  <si>
    <t>PKG-CAM-BND-SIS</t>
  </si>
  <si>
    <t>Standard bundled camera system installation</t>
  </si>
  <si>
    <t>NVR or DVR, up to eight cameras, network switch if required, and basic remote viewing setup. Camera type and resolution quoted separately based on site requirements.</t>
  </si>
  <si>
    <t>12 to 18 hours</t>
  </si>
  <si>
    <t>Camera hardware and recording equipment quoted separately based on site survey and client resolution and storage requirements.</t>
  </si>
  <si>
    <t>Basic Intrusion Package</t>
  </si>
  <si>
    <t>PKG-INT-BAS-SIS</t>
  </si>
  <si>
    <t>Basic intrusion alarm installation</t>
  </si>
  <si>
    <t>panel, keypad, siren, and power supply. Does not include sensors or detectors which are quoted separately based on site layout and client coverage requirements.</t>
  </si>
  <si>
    <t>6 to 10 hours</t>
  </si>
  <si>
    <t>Sensor and detector count quoted separately following site survey. Monitoring setup and activation billed under recurring fee structure.</t>
  </si>
  <si>
    <t>Standard Network Drop</t>
  </si>
  <si>
    <t>PKG-NET-DRP-SIS</t>
  </si>
  <si>
    <t>Single TIA compliant network drop installation</t>
  </si>
  <si>
    <t>CAT6 cable run, termination at both ends, keystone jack and wall plate at endpoint, and patch panel termination at distribution point. Includes cable certification test.</t>
  </si>
  <si>
    <t>1.5 to 2.5 hours per drop</t>
  </si>
  <si>
    <t>Pricing based on per drop basis. Bulk drop projects receive labor estimate review at time of quoting. Cable and hardware materials quoted separately.</t>
  </si>
  <si>
    <t>Intercom or Video Doorbell Package</t>
  </si>
  <si>
    <t>PKG-INT-VDB-SIS</t>
  </si>
  <si>
    <t>Single point intercom or video doorbell installation</t>
  </si>
  <si>
    <t>device mounting, low voltage wiring, network connection if IP based, and basic configuration and testing.</t>
  </si>
  <si>
    <t>3 to 5 hours</t>
  </si>
  <si>
    <t>Device hardware quoted separately based on client selection. IP based systems require existing network infrastructure at point of installation.</t>
  </si>
  <si>
    <t>Wireless Access Point Drop Package</t>
  </si>
  <si>
    <t>PKG-WAP-DRP-SIS</t>
  </si>
  <si>
    <t>Single wireless access point installation</t>
  </si>
  <si>
    <t>CAT6 drop to mounting location, ceiling or wall mount, and basic network connection. Does not include access point hardware or network configuration beyond physical connection.</t>
  </si>
  <si>
    <t>2 to 3 hours</t>
  </si>
  <si>
    <t>Access point hardware quoted separately. Network configuration and management billed separately under applicable service rates.</t>
  </si>
  <si>
    <t>1. All package labor estimates are ranges based on standard installation conditions. Complexity multipliers from the Complexity Multipliers tab may apply and will be documented at time of quoting</t>
  </si>
  <si>
    <t>2. Hardware and materials are never included in package pricing and are always quoted separately based on current market pricing at time of proposal</t>
  </si>
  <si>
    <t>3. Package SKUs are used for internal quoting and billing reference only and do not represent a fixed price commitment</t>
  </si>
  <si>
    <t>4. New packages are added to this tab as they are developed and approved. All packages must have an assigned SKU before being used in a client proposal</t>
  </si>
  <si>
    <t>5. Labor hour estimates are reviewed annually and updated based on field performance data</t>
  </si>
  <si>
    <t>This tab tracks material categories and associated labor units only. No pricing is stored on this tab. Material pricing is market dependent and is obtained at time of quoting from current vendor pricing. Do not add price columns to this tab.</t>
  </si>
  <si>
    <t>Includes labor to setup and install server with appropriate access control software</t>
  </si>
  <si>
    <t>Performance Workstation</t>
  </si>
  <si>
    <t>- No material pricing is stored on this tab under any circumstances. All material pricing is obtained from current vendor quotes at time of project proposal</t>
  </si>
  <si>
    <t>- Labor units represent the estimated hours per unit of measure for each material category under standard installation conditions</t>
  </si>
  <si>
    <t>- Complexity multipliers from the Complexity Multipliers tab are applied to total labor cost at the project level and are not applied at the material category level</t>
  </si>
  <si>
    <t>- Labor units are reviewed annually and updated based on field performance data and technician feedback</t>
  </si>
  <si>
    <t>- This tab is used as the labor estimation reference for quoting and bidding. All labor unit values feed into the quoting sheet calculations</t>
  </si>
  <si>
    <t>- Labor units are calculated on a decimal hour basis. One minute is equal to 0.01667. labor units and should be used as the reference conversion when estimating or validating labor unit assignments for new material categories.</t>
  </si>
  <si>
    <t>- To generate a SKU for a new line item, use this prompt: "Generate a unique SKU for this item using the format [TYPE]-[SPEC]-[UOM]-[EA or FT]-SIS."</t>
  </si>
  <si>
    <t>Shop Supply Labor Rate Input</t>
  </si>
  <si>
    <t/>
  </si>
  <si>
    <t>Labor Rate:</t>
  </si>
  <si>
    <t>Item Description</t>
  </si>
  <si>
    <t>Category</t>
  </si>
  <si>
    <t>Unit of Measure</t>
  </si>
  <si>
    <t>Waste Factor Percentage</t>
  </si>
  <si>
    <t>Markup Percentage</t>
  </si>
  <si>
    <t>Billing Rate</t>
  </si>
  <si>
    <t>Supplier</t>
  </si>
  <si>
    <t>Labor Rate</t>
  </si>
  <si>
    <t>Zip Ties (100 pack)</t>
  </si>
  <si>
    <t>CON-ZT-PK-EA-SIS</t>
  </si>
  <si>
    <t>Fasteners</t>
  </si>
  <si>
    <t>Pack</t>
  </si>
  <si>
    <t>Electrical Tape (Roll)</t>
  </si>
  <si>
    <t>CON-ET-RL-EA-SIS</t>
  </si>
  <si>
    <t>Tape</t>
  </si>
  <si>
    <t>Roll</t>
  </si>
  <si>
    <t>Velcro One-Wrap (Roll)</t>
  </si>
  <si>
    <t>CON-VOW-RL-EA-SIS</t>
  </si>
  <si>
    <t>Amazon</t>
  </si>
  <si>
    <t>J-Hooks (2 inch)</t>
  </si>
  <si>
    <t>CON-JH-EA-EA-SIS</t>
  </si>
  <si>
    <t>Support</t>
  </si>
  <si>
    <t>Each</t>
  </si>
  <si>
    <t>Drywall Anchors (100 pack)</t>
  </si>
  <si>
    <t>CON-DA-PK-EA-SIS</t>
  </si>
  <si>
    <t>Hardware</t>
  </si>
  <si>
    <t>Screws (Various sizes, box)</t>
  </si>
  <si>
    <t>CON-SCR-BX-EA-SIS</t>
  </si>
  <si>
    <t>Box</t>
  </si>
  <si>
    <t>RJ45 Connectors (100 pack)</t>
  </si>
  <si>
    <t>CON-RJ45-PK-EA-SIS</t>
  </si>
  <si>
    <t>Connectors</t>
  </si>
  <si>
    <t>Cable Labels (Sheet)</t>
  </si>
  <si>
    <t>CON-CL-SH-EA-SIS</t>
  </si>
  <si>
    <t>Labeling</t>
  </si>
  <si>
    <t>Sheet</t>
  </si>
  <si>
    <t>Cable Labels 1/2" Tape Cartridge</t>
  </si>
  <si>
    <t>CON-CL12-CT-EA-SIS</t>
  </si>
  <si>
    <t>Cartridge</t>
  </si>
  <si>
    <t xml:space="preserve">Cable Labels 3/4" Tape Cartridge </t>
  </si>
  <si>
    <t>CON-CL34-CT-EA-SIS</t>
  </si>
  <si>
    <t xml:space="preserve">Cable Labels 1" Tape Cartridge </t>
  </si>
  <si>
    <t>CON-CL1-CT-EA-SIS</t>
  </si>
  <si>
    <t>Pull String (Bucket)</t>
  </si>
  <si>
    <t>CON-PS-BK-EA-SIS</t>
  </si>
  <si>
    <t>Tools</t>
  </si>
  <si>
    <t>Bucket</t>
  </si>
  <si>
    <t>Firestop Sealant Putty (Tube)</t>
  </si>
  <si>
    <t>CON-FS-TB-EA-SIS</t>
  </si>
  <si>
    <t>Safety</t>
  </si>
  <si>
    <t>Tube</t>
  </si>
  <si>
    <t>Firestop Sealant Caulk (Tube)</t>
  </si>
  <si>
    <t>CON-FSC-TB-EA-SIS</t>
  </si>
  <si>
    <t>Fish Tape (Replacement)</t>
  </si>
  <si>
    <t>CON-FT-EA-EA-SIS</t>
  </si>
  <si>
    <t>Drill Bits (Set)</t>
  </si>
  <si>
    <t>CON-DB-ST-EA-SIS</t>
  </si>
  <si>
    <t>Set</t>
  </si>
  <si>
    <t>Wire Nuts (100 pack)</t>
  </si>
  <si>
    <t>CON-WN-PK-EA-SIS</t>
  </si>
  <si>
    <t>Heat Shrink Tubing (Assorted)</t>
  </si>
  <si>
    <t>CON-HST-BX-EA-SIS</t>
  </si>
  <si>
    <t>Protection</t>
  </si>
  <si>
    <t>BNC Connectors (50 pack)</t>
  </si>
  <si>
    <t>CON-BNC-PK-EA-SIS</t>
  </si>
  <si>
    <t>F-Type Connectors (50 pack)</t>
  </si>
  <si>
    <t>CON-FTC-PK-EA-SIS</t>
  </si>
  <si>
    <t>Faceplates (Single Gang)</t>
  </si>
  <si>
    <t>CON-FP-EA-EA-SIS</t>
  </si>
  <si>
    <t>Blank Inserts (Bag)</t>
  </si>
  <si>
    <t>CON-BI-BG-EA-SIS</t>
  </si>
  <si>
    <t>Bag</t>
  </si>
  <si>
    <t>Cleaning Wipes (Canister)</t>
  </si>
  <si>
    <t>CON-CW-CN-EA-SIS</t>
  </si>
  <si>
    <t>Cleaning</t>
  </si>
  <si>
    <t>Canister</t>
  </si>
  <si>
    <t>1. Shop supplies and consumables are items that are typically not itemized individually on client proposals due to low unit cost.</t>
  </si>
  <si>
    <t>2. The waste factor percentage accounts for expected material loss, damage, or off-cuts during standard installation.</t>
  </si>
  <si>
    <t>3. Base cost is the standard purchase price from approved vendors and is subject to change based on market conditions.</t>
  </si>
  <si>
    <t>4. Billing rate includes the standard markup percentage applied to the base cost to cover procurement and handling.</t>
  </si>
  <si>
    <t>5. The labor rate applied to consumables is linked to the Tech 1 and 2 hourly rate from the Hourly Labor Rates tab.</t>
  </si>
  <si>
    <t>Sheet Summary &amp; Version Index</t>
  </si>
  <si>
    <t>Current Version</t>
  </si>
  <si>
    <t>Last Modified</t>
  </si>
  <si>
    <t>Block 1 (Major) Trigger</t>
  </si>
  <si>
    <t>Block 2 (Minor) Trigger</t>
  </si>
  <si>
    <t>Block 3 (Line) Trigger</t>
  </si>
  <si>
    <t>Status</t>
  </si>
  <si>
    <t>0.00.144</t>
  </si>
  <si>
    <t>New pages, tables, or 4+ page edits</t>
  </si>
  <si>
    <t>Small revisions, formula/rate changes</t>
  </si>
  <si>
    <t>Line edits, adding to data structures</t>
  </si>
  <si>
    <t>Active</t>
  </si>
  <si>
    <t>Workbook-Wide Notes</t>
  </si>
  <si>
    <t>This workbook uses dynamic links to automatically calculate rates. The Consumables and Shop Supplies tab is dynamically linked to the Field Technician Standard Billing Rate. Version control is managed via the Apps Script menu. Use the Version Counter to increment major, minor, or line edits appropriately.</t>
  </si>
  <si>
    <t>Tab Index &amp; Descriptions</t>
  </si>
  <si>
    <t>Tab Name</t>
  </si>
  <si>
    <t>Primary Use</t>
  </si>
  <si>
    <t>Hourly Labor Rates</t>
  </si>
  <si>
    <t>Defines base rates, multipliers, and billing rates for field positions.</t>
  </si>
  <si>
    <t>Labor Pricing</t>
  </si>
  <si>
    <t>Complexity Multipliers</t>
  </si>
  <si>
    <t>Lists multipliers applied to services based on job complexity.</t>
  </si>
  <si>
    <t>Pricing Modifiers</t>
  </si>
  <si>
    <t>Full-Service Plan Rates</t>
  </si>
  <si>
    <t>Flat rates for full-service plans based on property size.</t>
  </si>
  <si>
    <t>Service Plans</t>
  </si>
  <si>
    <t>Maintenance Plan Rates</t>
  </si>
  <si>
    <t>Flat rates for maintenance plans based on property size.</t>
  </si>
  <si>
    <t>Inspection Plan Rates</t>
  </si>
  <si>
    <t>Flat rates for inspection plans based on property size.</t>
  </si>
  <si>
    <t>Consumables and Shop Supplies</t>
  </si>
  <si>
    <t>Pricing and labor units for materials, dynamically linked to labor rates.</t>
  </si>
  <si>
    <t>Material Pricing</t>
  </si>
  <si>
    <t>Timestamp</t>
  </si>
  <si>
    <t>Version</t>
  </si>
  <si>
    <t>User</t>
  </si>
  <si>
    <t>Note</t>
  </si>
  <si>
    <t>2026-05-15 14:51:24</t>
  </si>
  <si>
    <t>0.00.00</t>
  </si>
  <si>
    <t>ryan.k@smokypeak.tech</t>
  </si>
  <si>
    <t>Initial version log setup.</t>
  </si>
  <si>
    <t>0.00.01</t>
  </si>
  <si>
    <t>Line edit on Material Categories and Labor Units (row 4, col 4)</t>
  </si>
  <si>
    <t>0.00.02</t>
  </si>
  <si>
    <t>Line edit on Material Categories and Labor Units (row 5, col 4)</t>
  </si>
  <si>
    <t>0.00.03</t>
  </si>
  <si>
    <t>Line edit on Material Categories and Labor Units (row 6, col 4)</t>
  </si>
  <si>
    <t>0.00.04</t>
  </si>
  <si>
    <t>0.00.05</t>
  </si>
  <si>
    <t>Line edit on Material Categories and Labor Units (row 7, col 4)</t>
  </si>
  <si>
    <t>0.00.06</t>
  </si>
  <si>
    <t>Line edit on Material Categories and Labor Units (row 8, col 4)</t>
  </si>
  <si>
    <t>0.00.07</t>
  </si>
  <si>
    <t>Line edit on Material Categories and Labor Units (row 9, col 4)</t>
  </si>
  <si>
    <t>0.00.08</t>
  </si>
  <si>
    <t>Line edit on Material Categories and Labor Units (row 10, col 4)</t>
  </si>
  <si>
    <t>0.00.09</t>
  </si>
  <si>
    <t>Line edit on Material Categories and Labor Units (row 11, col 4)</t>
  </si>
  <si>
    <t>0.00.10</t>
  </si>
  <si>
    <t>Line edit on Material Categories and Labor Units (row 12, col 4)</t>
  </si>
  <si>
    <t>0.00.11</t>
  </si>
  <si>
    <t>Line edit on Material Categories and Labor Units (row 13, col 4)</t>
  </si>
  <si>
    <t>0.00.12</t>
  </si>
  <si>
    <t>Line edit on Material Categories and Labor Units (row 14, col 4)</t>
  </si>
  <si>
    <t>0.00.13</t>
  </si>
  <si>
    <t>Line edit on Material Categories and Labor Units (row 15, col 4)</t>
  </si>
  <si>
    <t>0.00.14</t>
  </si>
  <si>
    <t>Line edit on Material Categories and Labor Units (row 16, col 4)</t>
  </si>
  <si>
    <t>0.00.15</t>
  </si>
  <si>
    <t>Line edit on Material Categories and Labor Units (row 17, col 4)</t>
  </si>
  <si>
    <t>0.00.16</t>
  </si>
  <si>
    <t>Line edit on Material Categories and Labor Units (row 18, col 4)</t>
  </si>
  <si>
    <t>0.00.17</t>
  </si>
  <si>
    <t>Line edit on Material Categories and Labor Units (row 19, col 4)</t>
  </si>
  <si>
    <t>0.00.18</t>
  </si>
  <si>
    <t>Line edit on Material Categories and Labor Units (row 20, col 4)</t>
  </si>
  <si>
    <t>0.00.19</t>
  </si>
  <si>
    <t>Line edit on Material Categories and Labor Units (row 42, col 4)</t>
  </si>
  <si>
    <t>0.00.20</t>
  </si>
  <si>
    <t>Line edit on Material Categories and Labor Units (row 45, col 4)</t>
  </si>
  <si>
    <t>0.00.21</t>
  </si>
  <si>
    <t>0.00.22</t>
  </si>
  <si>
    <t>Line edit on Material Categories and Labor Units (row 191, col 1)</t>
  </si>
  <si>
    <t>0.00.23</t>
  </si>
  <si>
    <t>Line edit on Material Categories and Labor Units (row 94, col 4)</t>
  </si>
  <si>
    <t>0.00.24</t>
  </si>
  <si>
    <t>Line edit on Material Categories and Labor Units (row 95, col 4)</t>
  </si>
  <si>
    <t>0.00.25</t>
  </si>
  <si>
    <t>0.00.26</t>
  </si>
  <si>
    <t>0.00.27</t>
  </si>
  <si>
    <t>Line edit on Material Categories and Labor Units (row 4, col 1)</t>
  </si>
  <si>
    <t>0.00.28</t>
  </si>
  <si>
    <t>0.00.29</t>
  </si>
  <si>
    <t>0.00.30</t>
  </si>
  <si>
    <t>0.00.31</t>
  </si>
  <si>
    <t>0.00.32</t>
  </si>
  <si>
    <t>0.00.33</t>
  </si>
  <si>
    <t>0.00.34</t>
  </si>
  <si>
    <t>Line edit on Material Categories and Labor Units (row 12, col 1)</t>
  </si>
  <si>
    <t>0.00.35</t>
  </si>
  <si>
    <t>Line edit on Material Categories and Labor Units (row 12, col 2)</t>
  </si>
  <si>
    <t>0.00.36</t>
  </si>
  <si>
    <t>Line edit on Material Categories and Labor Units (row 12, col 3)</t>
  </si>
  <si>
    <t>0.00.37</t>
  </si>
  <si>
    <t>0.00.38</t>
  </si>
  <si>
    <t>0.00.39</t>
  </si>
  <si>
    <t>0.00.40</t>
  </si>
  <si>
    <t>0.00.41</t>
  </si>
  <si>
    <t>0.00.42</t>
  </si>
  <si>
    <t>Line edit on Material Categories and Labor Units (row 4, col 6)</t>
  </si>
  <si>
    <t>0.00.43</t>
  </si>
  <si>
    <t>Line edit on Material Categories and Labor Units (row 5, col 6)</t>
  </si>
  <si>
    <t>0.00.44</t>
  </si>
  <si>
    <t>Line edit on Material Categories and Labor Units (row 6, col 6)</t>
  </si>
  <si>
    <t>0.00.45</t>
  </si>
  <si>
    <t>Line edit on Material Categories and Labor Units (row 7, col 6)</t>
  </si>
  <si>
    <t>0.00.46</t>
  </si>
  <si>
    <t>Line edit on Material Categories and Labor Units (row 8, col 6)</t>
  </si>
  <si>
    <t>0.00.47</t>
  </si>
  <si>
    <t>Line edit on Material Categories and Labor Units (row 9, col 6)</t>
  </si>
  <si>
    <t>0.00.48</t>
  </si>
  <si>
    <t>Line edit on Material Categories and Labor Units (row 10, col 6)</t>
  </si>
  <si>
    <t>0.00.49</t>
  </si>
  <si>
    <t>Line edit on Material Categories and Labor Units (row 11, col 6)</t>
  </si>
  <si>
    <t>0.00.50</t>
  </si>
  <si>
    <t>0.00.51</t>
  </si>
  <si>
    <t>0.00.52</t>
  </si>
  <si>
    <t>Line edit on Material Categories and Labor Units (row 12, col 6)</t>
  </si>
  <si>
    <t>0.00.53</t>
  </si>
  <si>
    <t>Line edit on Material Categories and Labor Units (row 13, col 6)</t>
  </si>
  <si>
    <t>0.00.54</t>
  </si>
  <si>
    <t>Line edit on Material Categories and Labor Units (row 14, col 6)</t>
  </si>
  <si>
    <t>0.00.55</t>
  </si>
  <si>
    <t>Line edit on Material Categories and Labor Units (row 12, col 5)</t>
  </si>
  <si>
    <t>0.00.56</t>
  </si>
  <si>
    <t>Line edit on Material Categories and Labor Units (row 21, col 4)</t>
  </si>
  <si>
    <t>0.00.57</t>
  </si>
  <si>
    <t>Line edit on Material Categories and Labor Units (row 103, col 5)</t>
  </si>
  <si>
    <t>Line edit on Material Categories and Labor Units (row 102, col 5)</t>
  </si>
  <si>
    <t>0.00.58</t>
  </si>
  <si>
    <t>0.00.59</t>
  </si>
  <si>
    <t>Line edit on Material Categories and Labor Units (row 104, col 5)</t>
  </si>
  <si>
    <t>0.00.60</t>
  </si>
  <si>
    <t>0.00.61</t>
  </si>
  <si>
    <t>0.00.62</t>
  </si>
  <si>
    <t>Line edit on Material Categories and Labor Units (row 105, col 5)</t>
  </si>
  <si>
    <t>0.00.63</t>
  </si>
  <si>
    <t>Line edit on Material Categories and Labor Units (row 106, col 5)</t>
  </si>
  <si>
    <t>0.00.64</t>
  </si>
  <si>
    <t>Line edit on Material Categories and Labor Units (row 107, col 5)</t>
  </si>
  <si>
    <t>0.00.65</t>
  </si>
  <si>
    <t>Line edit on Material Categories and Labor Units (row 155, col 5)</t>
  </si>
  <si>
    <t>0.00.66</t>
  </si>
  <si>
    <t>Line edit on Material Categories and Labor Units (row 156, col 5)</t>
  </si>
  <si>
    <t>0.00.67</t>
  </si>
  <si>
    <t>Line edit on Material Categories and Labor Units (row 157, col 5)</t>
  </si>
  <si>
    <t>0.00.68</t>
  </si>
  <si>
    <t>Line edit on Material Categories and Labor Units (row 158, col 5)</t>
  </si>
  <si>
    <t>0.00.69</t>
  </si>
  <si>
    <t>Line edit on Material Categories and Labor Units (row 159, col 5)</t>
  </si>
  <si>
    <t>0.00.70</t>
  </si>
  <si>
    <t>Line edit on Material Categories and Labor Units (row 160, col 5)</t>
  </si>
  <si>
    <t>0.00.71</t>
  </si>
  <si>
    <t>Line edit on Material Categories and Labor Units (row 161, col 5)</t>
  </si>
  <si>
    <t>0.00.72</t>
  </si>
  <si>
    <t>Line edit on Material Categories and Labor Units (row 162, col 5)</t>
  </si>
  <si>
    <t>0.00.73</t>
  </si>
  <si>
    <t>Line edit on Material Categories and Labor Units (row 163, col 5)</t>
  </si>
  <si>
    <t>0.00.74</t>
  </si>
  <si>
    <t>Line edit on Material Categories and Labor Units (row 164, col 5)</t>
  </si>
  <si>
    <t>0.00.75</t>
  </si>
  <si>
    <t>Line edit on Material Categories and Labor Units (row 165, col 5)</t>
  </si>
  <si>
    <t>0.00.76</t>
  </si>
  <si>
    <t>Line edit on Material Categories and Labor Units (row 166, col 5)</t>
  </si>
  <si>
    <t>0.00.77</t>
  </si>
  <si>
    <t>Line edit on Material Categories and Labor Units (row 167, col 5)</t>
  </si>
  <si>
    <t>0.00.78</t>
  </si>
  <si>
    <t>Line edit on Material Categories and Labor Units (row 168, col 5)</t>
  </si>
  <si>
    <t>0.00.79</t>
  </si>
  <si>
    <t>Line edit on Material Categories and Labor Units (row 169, col 5)</t>
  </si>
  <si>
    <t>0.00.80</t>
  </si>
  <si>
    <t>Line edit on Material Categories and Labor Units (row 170, col 5)</t>
  </si>
  <si>
    <t>0.00.81</t>
  </si>
  <si>
    <t>Line edit on Material Categories and Labor Units (row 171, col 5)</t>
  </si>
  <si>
    <t>0.00.82</t>
  </si>
  <si>
    <t>Line edit on Material Categories and Labor Units (row 172, col 5)</t>
  </si>
  <si>
    <t>0.00.83</t>
  </si>
  <si>
    <t>Line edit on Material Categories and Labor Units (row 173, col 5)</t>
  </si>
  <si>
    <t>0.00.84</t>
  </si>
  <si>
    <t>Line edit on Material Categories and Labor Units (row 174, col 5)</t>
  </si>
  <si>
    <t>0.00.85</t>
  </si>
  <si>
    <t>Line edit on Material Categories and Labor Units (row 175, col 5)</t>
  </si>
  <si>
    <t>0.00.86</t>
  </si>
  <si>
    <t>Line edit on Material Categories and Labor Units (row 176, col 5)</t>
  </si>
  <si>
    <t>0.00.87</t>
  </si>
  <si>
    <t>Line edit on Material Categories and Labor Units (row 177, col 5)</t>
  </si>
  <si>
    <t>0.00.88</t>
  </si>
  <si>
    <t>Line edit on Material Categories and Labor Units (row 178, col 5)</t>
  </si>
  <si>
    <t>0.00.89</t>
  </si>
  <si>
    <t>Line edit on Material Categories and Labor Units (row 179, col 5)</t>
  </si>
  <si>
    <t>0.00.90</t>
  </si>
  <si>
    <t>Line edit on Material Categories and Labor Units (row 18, col 8)</t>
  </si>
  <si>
    <t>0.00.91</t>
  </si>
  <si>
    <t>0.00.92</t>
  </si>
  <si>
    <t>Line edit on Material Categories and Labor Units (row 21, col 8)</t>
  </si>
  <si>
    <t>0.00.93</t>
  </si>
  <si>
    <t>Line edit on Material Categories and Labor Units (row 43, col 8)</t>
  </si>
  <si>
    <t>0.00.94</t>
  </si>
  <si>
    <t>0.00.95</t>
  </si>
  <si>
    <t>0.00.96</t>
  </si>
  <si>
    <t>0.00.97</t>
  </si>
  <si>
    <t>Line edit on Material Categories and Labor Units (row 49, col 8)</t>
  </si>
  <si>
    <t>0.00.98</t>
  </si>
  <si>
    <t>Line edit on Material Categories and Labor Units (row 58, col 8)</t>
  </si>
  <si>
    <t>0.00.99</t>
  </si>
  <si>
    <t>Line edit on Material Categories and Labor Units (row 59, col 8)</t>
  </si>
  <si>
    <t>0.00.100</t>
  </si>
  <si>
    <t>Line edit on Material Categories and Labor Units (row 60, col 8)</t>
  </si>
  <si>
    <t>0.00.101</t>
  </si>
  <si>
    <t>Line edit on Material Categories and Labor Units (row 61, col 8)</t>
  </si>
  <si>
    <t>0.00.102</t>
  </si>
  <si>
    <t>Line edit on Material Categories and Labor Units (row 76, col 8)</t>
  </si>
  <si>
    <t>0.00.103</t>
  </si>
  <si>
    <t>Line edit on Material Categories and Labor Units (row 79, col 8)</t>
  </si>
  <si>
    <t>0.00.104</t>
  </si>
  <si>
    <t>Line edit on Material Categories and Labor Units (row 91, col 8)</t>
  </si>
  <si>
    <t>0.00.105</t>
  </si>
  <si>
    <t>Line edit on Material Categories and Labor Units (row 101, col 8)</t>
  </si>
  <si>
    <t>0.00.106</t>
  </si>
  <si>
    <t>Line edit on Material Categories and Labor Units (row 145, col 8)</t>
  </si>
  <si>
    <t>0.00.107</t>
  </si>
  <si>
    <t>Line edit on Material Categories and Labor Units (row 148, col 8)</t>
  </si>
  <si>
    <t>0.00.108</t>
  </si>
  <si>
    <t>Line edit on Material Categories and Labor Units (row 13, col 1)</t>
  </si>
  <si>
    <t>0.00.109</t>
  </si>
  <si>
    <t>Line edit on Material Categories and Labor Units (row 17, col 1)</t>
  </si>
  <si>
    <t>0.00.110</t>
  </si>
  <si>
    <t>Line edit on Material Categories and Labor Units (row 20, col 1)</t>
  </si>
  <si>
    <t>0.00.111</t>
  </si>
  <si>
    <t>Line edit on Material Categories and Labor Units (row 19, col 1)</t>
  </si>
  <si>
    <t>0.00.112</t>
  </si>
  <si>
    <t>0.00.113</t>
  </si>
  <si>
    <t>0.00.114</t>
  </si>
  <si>
    <t>Line edit on Material Categories and Labor Units (row 18, col 1)</t>
  </si>
  <si>
    <t>0.00.115</t>
  </si>
  <si>
    <t>0.00.116</t>
  </si>
  <si>
    <t>0.00.117</t>
  </si>
  <si>
    <t>Line edit on Material Categories and Labor Units (row 18, col 2)</t>
  </si>
  <si>
    <t>0.00.118</t>
  </si>
  <si>
    <t>Line edit on Material Categories and Labor Units (row 18, col 3)</t>
  </si>
  <si>
    <t>0.00.119</t>
  </si>
  <si>
    <t>0.00.120</t>
  </si>
  <si>
    <t>Line edit on Material Categories and Labor Units (row 18, col 5)</t>
  </si>
  <si>
    <t>0.00.121</t>
  </si>
  <si>
    <t>Line edit on Material Categories and Labor Units (row 18, col 6)</t>
  </si>
  <si>
    <t>0.00.122</t>
  </si>
  <si>
    <t>Line edit on Material Categories and Labor Units (row 18, col 7)</t>
  </si>
  <si>
    <t>0.00.123</t>
  </si>
  <si>
    <t>0.00.124</t>
  </si>
  <si>
    <t>0.00.125</t>
  </si>
  <si>
    <t>Line edit on Material Categories and Labor Units (row 19, col 2)</t>
  </si>
  <si>
    <t>0.00.126</t>
  </si>
  <si>
    <t>Line edit on Material Categories and Labor Units (row 19, col 3)</t>
  </si>
  <si>
    <t>0.00.127</t>
  </si>
  <si>
    <t>0.00.128</t>
  </si>
  <si>
    <t>Line edit on Material Categories and Labor Units (row 19, col 5)</t>
  </si>
  <si>
    <t>0.00.129</t>
  </si>
  <si>
    <t>Line edit on Material Categories and Labor Units (row 19, col 6)</t>
  </si>
  <si>
    <t>0.00.130</t>
  </si>
  <si>
    <t>0.00.131</t>
  </si>
  <si>
    <t>Line edit on Material Categories and Labor Units (row 20, col 2)</t>
  </si>
  <si>
    <t>0.00.132</t>
  </si>
  <si>
    <t>Line edit on Material Categories and Labor Units (row 20, col 3)</t>
  </si>
  <si>
    <t>0.00.133</t>
  </si>
  <si>
    <t>0.00.134</t>
  </si>
  <si>
    <t>Line edit on Material Categories and Labor Units (row 20, col 5)</t>
  </si>
  <si>
    <t>0.00.135</t>
  </si>
  <si>
    <t>Line edit on Material Categories and Labor Units (row 20, col 6)</t>
  </si>
  <si>
    <t>0.00.136</t>
  </si>
  <si>
    <t>Line edit on Material Categories and Labor Units (row 20, col 7)</t>
  </si>
  <si>
    <t>0.00.137</t>
  </si>
  <si>
    <t>Line edit on Material Categories and Labor Units (row 24, col 1)</t>
  </si>
  <si>
    <t>0.00.138</t>
  </si>
  <si>
    <t>0.00.139</t>
  </si>
  <si>
    <t>Line edit on Material Categories and Labor Units (row 5, col 1)</t>
  </si>
  <si>
    <t>0.00.140</t>
  </si>
  <si>
    <t>0.00.141</t>
  </si>
  <si>
    <t>0.00.142</t>
  </si>
  <si>
    <t>0.00.143</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</si>
</sst>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0.0%"/>
    <numFmt numFmtId="166" formatCode="yyyy-mm-dd"/>
    <numFmt numFmtId="167" formatCode="yyyy-mm-dd h:mm:ss"/>
  </numFmts>
  <fonts count="14">
    <font>
      <sz val="10.0"/>
      <color rgb="FF000000"/>
      <name val="Arial"/>
      <scheme val="minor"/>
    </font>
    <font>
      <b/>
      <color rgb="FFFFFFFF"/>
      <name val="Arial"/>
      <scheme val="minor"/>
    </font>
    <font>
      <color theme="1"/>
      <name val="Arial"/>
      <scheme val="minor"/>
    </font>
    <font>
      <b/>
      <color theme="1"/>
      <name val="Arial"/>
      <scheme val="minor"/>
    </font>
    <font/>
    <font>
      <b/>
      <sz val="11.0"/>
      <color rgb="FFFFFFFF"/>
      <name val="Montserrat"/>
    </font>
    <font>
      <b/>
      <color rgb="FFFFFFFF"/>
      <name val="Montserrat"/>
    </font>
    <font>
      <b/>
      <sz val="12.0"/>
      <color rgb="FFFFFFFF"/>
      <name val="Montserrat"/>
    </font>
    <font>
      <color theme="1"/>
      <name val="Roboto"/>
    </font>
    <font>
      <b/>
      <sz val="10.0"/>
      <color rgb="FFFFFFFF"/>
      <name val="Montserrat"/>
    </font>
    <font>
      <sz val="10.0"/>
      <color theme="1"/>
      <name val="Roboto"/>
    </font>
    <font>
      <b/>
      <sz val="11.0"/>
      <color rgb="FFFFFFFF"/>
      <name val="Calibri"/>
    </font>
    <font>
      <sz val="11.0"/>
      <color theme="1"/>
      <name val="Calibri"/>
    </font>
    <font>
      <b/>
      <sz val="12.0"/>
      <color theme="1"/>
      <name val="Montserrat"/>
    </font>
  </fonts>
  <fills count="11">
    <fill>
      <patternFill patternType="none"/>
    </fill>
    <fill>
      <patternFill patternType="lightGray"/>
    </fill>
    <fill>
      <patternFill patternType="solid">
        <fgColor rgb="FF3D85C6"/>
        <bgColor rgb="FF3D85C6"/>
      </patternFill>
    </fill>
    <fill>
      <patternFill patternType="solid">
        <fgColor rgb="FFD9EAD3"/>
        <bgColor rgb="FFD9EAD3"/>
      </patternFill>
    </fill>
    <fill>
      <patternFill patternType="solid">
        <fgColor rgb="FFCFE2F3"/>
        <bgColor rgb="FFCFE2F3"/>
      </patternFill>
    </fill>
    <fill>
      <patternFill patternType="solid">
        <fgColor rgb="FFD9EAD2"/>
        <bgColor rgb="FFD9EAD2"/>
      </patternFill>
    </fill>
    <fill>
      <patternFill patternType="solid">
        <fgColor rgb="FFEFF7E8"/>
        <bgColor rgb="FFEFF7E8"/>
      </patternFill>
    </fill>
    <fill>
      <patternFill patternType="solid">
        <fgColor rgb="FFFFFFFF"/>
        <bgColor rgb="FFFFFFFF"/>
      </patternFill>
    </fill>
    <fill>
      <patternFill patternType="solid">
        <fgColor rgb="FFFFF2CC"/>
        <bgColor rgb="FFFFF2CC"/>
      </patternFill>
    </fill>
    <fill>
      <patternFill patternType="solid">
        <fgColor rgb="FF4A86E8"/>
        <bgColor rgb="FF4A86E8"/>
      </patternFill>
    </fill>
    <fill>
      <patternFill patternType="solid">
        <fgColor rgb="FFD8EAD3"/>
        <bgColor rgb="FFD8EAD3"/>
      </patternFill>
    </fill>
  </fills>
  <borders count="14">
    <border/>
    <border>
      <left style="medium">
        <color rgb="FF9FC5E8"/>
      </left>
      <right style="medium">
        <color rgb="FF9FC5E8"/>
      </right>
      <top style="medium">
        <color rgb="FF9FC5E8"/>
      </top>
      <bottom style="medium">
        <color rgb="FF9FC5E8"/>
      </bottom>
    </border>
    <border>
      <left style="medium">
        <color rgb="FF9FC5E8"/>
      </left>
      <top style="medium">
        <color rgb="FF9FC5E8"/>
      </top>
      <bottom style="medium">
        <color rgb="FF9FC5E8"/>
      </bottom>
    </border>
    <border>
      <top style="medium">
        <color rgb="FF9FC5E8"/>
      </top>
      <bottom style="medium">
        <color rgb="FF9FC5E8"/>
      </bottom>
    </border>
    <border>
      <right style="medium">
        <color rgb="FF9FC5E8"/>
      </right>
      <top style="medium">
        <color rgb="FF9FC5E8"/>
      </top>
      <bottom style="medium">
        <color rgb="FF9FC5E8"/>
      </bottom>
    </border>
    <border>
      <left style="medium">
        <color rgb="FF9FC5E8"/>
      </left>
      <right style="medium">
        <color rgb="FF9FC5E8"/>
      </right>
      <bottom style="medium">
        <color rgb="FF9FC5E8"/>
      </bottom>
    </border>
    <border>
      <left style="medium">
        <color rgb="FF9FC5E8"/>
      </left>
      <top style="medium">
        <color rgb="FF9FC5E8"/>
      </top>
    </border>
    <border>
      <top style="medium">
        <color rgb="FF9FC5E8"/>
      </top>
    </border>
    <border>
      <right style="medium">
        <color rgb="FF9FC5E8"/>
      </right>
      <top style="medium">
        <color rgb="FF9FC5E8"/>
      </top>
    </border>
    <border>
      <left style="medium">
        <color rgb="FFA4C2F4"/>
      </left>
      <top style="medium">
        <color rgb="FFA4C2F4"/>
      </top>
      <bottom style="medium">
        <color rgb="FFA4C2F4"/>
      </bottom>
    </border>
    <border>
      <top style="medium">
        <color rgb="FFA4C2F4"/>
      </top>
      <bottom style="medium">
        <color rgb="FFA4C2F4"/>
      </bottom>
    </border>
    <border>
      <right style="medium">
        <color rgb="FFA4C2F4"/>
      </right>
      <top style="medium">
        <color rgb="FFA4C2F4"/>
      </top>
      <bottom style="medium">
        <color rgb="FFA4C2F4"/>
      </bottom>
    </border>
    <border>
      <left style="medium">
        <color rgb="FFA4C2F4"/>
      </left>
      <right style="medium">
        <color rgb="FFA4C2F4"/>
      </right>
      <top style="medium">
        <color rgb="FFA4C2F4"/>
      </top>
      <bottom style="medium">
        <color rgb="FFA4C2F4"/>
      </bottom>
    </border>
    <border>
      <left>
        <color rgb="FF000000"/>
      </left>
      <right>
        <color rgb="FF000000"/>
      </right>
      <top>
        <color rgb="FF000000"/>
      </top>
      <bottom>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0" fontId="2" numFmtId="0" xfId="0" applyAlignment="1" applyBorder="1" applyFont="1">
      <alignment readingOrder="0"/>
    </xf>
    <xf borderId="1" fillId="3" fontId="2" numFmtId="0" xfId="0" applyAlignment="1" applyBorder="1" applyFill="1" applyFont="1">
      <alignment readingOrder="0"/>
    </xf>
    <xf borderId="1" fillId="2" fontId="1" numFmtId="0" xfId="0" applyAlignment="1" applyBorder="1" applyFont="1">
      <alignment horizontal="center" readingOrder="0" shrinkToFit="0" wrapText="1"/>
    </xf>
    <xf borderId="1" fillId="4" fontId="2" numFmtId="0" xfId="0" applyAlignment="1" applyBorder="1" applyFill="1" applyFont="1">
      <alignment readingOrder="0"/>
    </xf>
    <xf borderId="1" fillId="4" fontId="2" numFmtId="164" xfId="0" applyAlignment="1" applyBorder="1" applyFont="1" applyNumberFormat="1">
      <alignment readingOrder="0"/>
    </xf>
    <xf borderId="1" fillId="4" fontId="2" numFmtId="164" xfId="0" applyBorder="1" applyFont="1" applyNumberFormat="1"/>
    <xf borderId="1" fillId="4" fontId="2" numFmtId="165" xfId="0" applyAlignment="1" applyBorder="1" applyFont="1" applyNumberFormat="1">
      <alignment readingOrder="0"/>
    </xf>
    <xf borderId="1" fillId="0" fontId="2" numFmtId="0" xfId="0" applyAlignment="1" applyBorder="1" applyFont="1">
      <alignment readingOrder="0"/>
    </xf>
    <xf borderId="1" fillId="0" fontId="2" numFmtId="164" xfId="0" applyAlignment="1" applyBorder="1" applyFont="1" applyNumberFormat="1">
      <alignment readingOrder="0"/>
    </xf>
    <xf borderId="1" fillId="0" fontId="2" numFmtId="164" xfId="0" applyBorder="1" applyFont="1" applyNumberFormat="1"/>
    <xf borderId="1" fillId="0" fontId="2" numFmtId="165" xfId="0" applyAlignment="1" applyBorder="1" applyFont="1" applyNumberFormat="1">
      <alignment readingOrder="0"/>
    </xf>
    <xf borderId="1" fillId="0" fontId="3" numFmtId="0" xfId="0" applyAlignment="1" applyBorder="1" applyFont="1">
      <alignment readingOrder="0"/>
    </xf>
    <xf borderId="2" fillId="0" fontId="2" numFmtId="0" xfId="0" applyBorder="1" applyFont="1"/>
    <xf borderId="3" fillId="0" fontId="4" numFmtId="0" xfId="0" applyBorder="1" applyFont="1"/>
    <xf borderId="4" fillId="0" fontId="4" numFmtId="0" xfId="0" applyBorder="1" applyFont="1"/>
    <xf borderId="1" fillId="0" fontId="2" numFmtId="165" xfId="0" applyBorder="1" applyFont="1" applyNumberFormat="1"/>
    <xf borderId="1" fillId="2" fontId="1" numFmtId="0" xfId="0" applyAlignment="1" applyBorder="1" applyFont="1">
      <alignment readingOrder="0" shrinkToFit="0" wrapText="1"/>
    </xf>
    <xf borderId="2" fillId="0" fontId="2" numFmtId="0" xfId="0" applyAlignment="1" applyBorder="1" applyFont="1">
      <alignment readingOrder="0" shrinkToFit="0" wrapText="1"/>
    </xf>
    <xf borderId="1" fillId="2" fontId="5" numFmtId="0" xfId="0" applyAlignment="1" applyBorder="1" applyFont="1">
      <alignment readingOrder="0"/>
    </xf>
    <xf borderId="1" fillId="5" fontId="2" numFmtId="164" xfId="0" applyBorder="1" applyFill="1" applyFont="1" applyNumberFormat="1"/>
    <xf borderId="1" fillId="5" fontId="2" numFmtId="164" xfId="0" applyAlignment="1" applyBorder="1" applyFont="1" applyNumberFormat="1">
      <alignment readingOrder="0"/>
    </xf>
    <xf borderId="1" fillId="5" fontId="2" numFmtId="0" xfId="0" applyAlignment="1" applyBorder="1" applyFont="1">
      <alignment readingOrder="0"/>
    </xf>
    <xf borderId="1" fillId="2" fontId="6" numFmtId="0" xfId="0" applyAlignment="1" applyBorder="1" applyFont="1">
      <alignment readingOrder="0" shrinkToFit="0" wrapText="1"/>
    </xf>
    <xf borderId="1" fillId="4" fontId="2" numFmtId="0" xfId="0" applyAlignment="1" applyBorder="1" applyFont="1">
      <alignment readingOrder="0" shrinkToFit="0" wrapText="1"/>
    </xf>
    <xf borderId="1" fillId="0" fontId="2" numFmtId="0" xfId="0" applyAlignment="1" applyBorder="1" applyFont="1">
      <alignment readingOrder="0" shrinkToFit="0" wrapText="1"/>
    </xf>
    <xf borderId="1" fillId="0" fontId="2" numFmtId="164" xfId="0" applyAlignment="1" applyBorder="1" applyFont="1" applyNumberFormat="1">
      <alignment readingOrder="0"/>
    </xf>
    <xf borderId="1" fillId="0" fontId="2" numFmtId="0" xfId="0" applyAlignment="1" applyBorder="1" applyFont="1">
      <alignment readingOrder="0" shrinkToFit="0" wrapText="1"/>
    </xf>
    <xf borderId="1" fillId="2" fontId="7" numFmtId="0" xfId="0" applyBorder="1" applyFont="1"/>
    <xf borderId="1" fillId="0" fontId="8" numFmtId="0" xfId="0" applyBorder="1" applyFont="1"/>
    <xf borderId="1" fillId="6" fontId="8" numFmtId="165" xfId="0" applyBorder="1" applyFill="1" applyFont="1" applyNumberFormat="1"/>
    <xf borderId="1" fillId="2" fontId="9" numFmtId="0" xfId="0" applyAlignment="1" applyBorder="1" applyFont="1">
      <alignment horizontal="center" readingOrder="0" shrinkToFit="0" wrapText="1"/>
    </xf>
    <xf borderId="1" fillId="4" fontId="10" numFmtId="0" xfId="0" applyAlignment="1" applyBorder="1" applyFont="1">
      <alignment readingOrder="0" shrinkToFit="0" wrapText="1"/>
    </xf>
    <xf borderId="1" fillId="4" fontId="10" numFmtId="0" xfId="0" applyAlignment="1" applyBorder="1" applyFont="1">
      <alignment readingOrder="0"/>
    </xf>
    <xf borderId="1" fillId="4" fontId="10" numFmtId="0" xfId="0" applyAlignment="1" applyBorder="1" applyFont="1">
      <alignment readingOrder="0"/>
    </xf>
    <xf borderId="1" fillId="4" fontId="10" numFmtId="164" xfId="0" applyAlignment="1" applyBorder="1" applyFont="1" applyNumberFormat="1">
      <alignment readingOrder="0"/>
    </xf>
    <xf borderId="1" fillId="4" fontId="10" numFmtId="164" xfId="0" applyBorder="1" applyFont="1" applyNumberFormat="1"/>
    <xf borderId="1" fillId="0" fontId="10" numFmtId="0" xfId="0" applyAlignment="1" applyBorder="1" applyFont="1">
      <alignment readingOrder="0" shrinkToFit="0" wrapText="1"/>
    </xf>
    <xf borderId="1" fillId="0" fontId="10" numFmtId="0" xfId="0" applyAlignment="1" applyBorder="1" applyFont="1">
      <alignment readingOrder="0"/>
    </xf>
    <xf borderId="1" fillId="0" fontId="10" numFmtId="164" xfId="0" applyAlignment="1" applyBorder="1" applyFont="1" applyNumberFormat="1">
      <alignment readingOrder="0"/>
    </xf>
    <xf borderId="1" fillId="0" fontId="10" numFmtId="164" xfId="0" applyBorder="1" applyFont="1" applyNumberFormat="1"/>
    <xf borderId="1" fillId="0" fontId="10" numFmtId="0" xfId="0" applyAlignment="1" applyBorder="1" applyFont="1">
      <alignment readingOrder="0"/>
    </xf>
    <xf borderId="1" fillId="0" fontId="10" numFmtId="164" xfId="0" applyAlignment="1" applyBorder="1" applyFont="1" applyNumberFormat="1">
      <alignment readingOrder="0"/>
    </xf>
    <xf borderId="1" fillId="0" fontId="10" numFmtId="164" xfId="0" applyBorder="1" applyFont="1" applyNumberFormat="1"/>
    <xf borderId="1" fillId="0" fontId="10" numFmtId="0" xfId="0" applyAlignment="1" applyBorder="1" applyFont="1">
      <alignment readingOrder="0" shrinkToFit="0" wrapText="1"/>
    </xf>
    <xf borderId="1" fillId="7" fontId="8" numFmtId="0" xfId="0" applyAlignment="1" applyBorder="1" applyFill="1" applyFont="1">
      <alignment vertical="bottom"/>
    </xf>
    <xf borderId="1" fillId="7" fontId="8" numFmtId="164" xfId="0" applyAlignment="1" applyBorder="1" applyFont="1" applyNumberFormat="1">
      <alignment horizontal="right" readingOrder="0" vertical="bottom"/>
    </xf>
    <xf borderId="1" fillId="7" fontId="8" numFmtId="164" xfId="0" applyAlignment="1" applyBorder="1" applyFont="1" applyNumberFormat="1">
      <alignment horizontal="right" vertical="bottom"/>
    </xf>
    <xf borderId="1" fillId="7" fontId="8" numFmtId="0" xfId="0" applyAlignment="1" applyBorder="1" applyFont="1">
      <alignment shrinkToFit="0" vertical="bottom" wrapText="1"/>
    </xf>
    <xf borderId="1" fillId="0" fontId="10" numFmtId="0" xfId="0" applyAlignment="1" applyBorder="1" applyFont="1">
      <alignment readingOrder="0"/>
    </xf>
    <xf borderId="1" fillId="4" fontId="10" numFmtId="9" xfId="0" applyAlignment="1" applyBorder="1" applyFont="1" applyNumberFormat="1">
      <alignment readingOrder="0"/>
    </xf>
    <xf borderId="1" fillId="4" fontId="10" numFmtId="10" xfId="0" applyBorder="1" applyFont="1" applyNumberFormat="1"/>
    <xf borderId="2" fillId="0" fontId="10" numFmtId="0" xfId="0" applyAlignment="1" applyBorder="1" applyFont="1">
      <alignment readingOrder="0" shrinkToFit="0" wrapText="1"/>
    </xf>
    <xf borderId="1" fillId="2" fontId="6" numFmtId="0" xfId="0" applyAlignment="1" applyBorder="1" applyFont="1">
      <alignment horizontal="center"/>
    </xf>
    <xf borderId="1" fillId="0" fontId="10" numFmtId="0" xfId="0" applyAlignment="1" applyBorder="1" applyFont="1">
      <alignment readingOrder="0" shrinkToFit="0" vertical="center" wrapText="1"/>
    </xf>
    <xf borderId="1" fillId="0" fontId="10" numFmtId="9" xfId="0" applyAlignment="1" applyBorder="1" applyFont="1" applyNumberFormat="1">
      <alignment readingOrder="0" shrinkToFit="0" vertical="center" wrapText="1"/>
    </xf>
    <xf borderId="1" fillId="0" fontId="10" numFmtId="0" xfId="0" applyAlignment="1" applyBorder="1" applyFont="1">
      <alignment readingOrder="0" shrinkToFit="0" vertical="center" wrapText="1"/>
    </xf>
    <xf borderId="1" fillId="2" fontId="5" numFmtId="0" xfId="0" applyBorder="1" applyFont="1"/>
    <xf borderId="2" fillId="0" fontId="10" numFmtId="0" xfId="0" applyAlignment="1" applyBorder="1" applyFont="1">
      <alignment shrinkToFit="0" wrapText="1"/>
    </xf>
    <xf borderId="1" fillId="2" fontId="5" numFmtId="0" xfId="0" applyAlignment="1" applyBorder="1" applyFont="1">
      <alignment horizontal="center" readingOrder="0" shrinkToFit="0" vertical="center" wrapText="1"/>
    </xf>
    <xf borderId="1" fillId="0" fontId="10" numFmtId="0" xfId="0" applyAlignment="1" applyBorder="1" applyFont="1">
      <alignment readingOrder="0" shrinkToFit="0" vertical="top" wrapText="1"/>
    </xf>
    <xf borderId="2" fillId="0" fontId="10" numFmtId="0" xfId="0" applyAlignment="1" applyBorder="1" applyFont="1">
      <alignment readingOrder="0" shrinkToFit="0" wrapText="1"/>
    </xf>
    <xf borderId="0" fillId="0" fontId="10" numFmtId="0" xfId="0" applyAlignment="1" applyFont="1">
      <alignment readingOrder="0" shrinkToFit="0" wrapText="1"/>
    </xf>
    <xf borderId="0" fillId="8" fontId="3" numFmtId="0" xfId="0" applyAlignment="1" applyFill="1" applyFont="1">
      <alignment horizontal="center" readingOrder="0" shrinkToFit="0" wrapText="1"/>
    </xf>
    <xf borderId="0" fillId="9" fontId="11" numFmtId="0" xfId="0" applyAlignment="1" applyFill="1" applyFont="1">
      <alignment vertical="bottom"/>
    </xf>
    <xf borderId="0" fillId="9" fontId="11" numFmtId="0" xfId="0" applyAlignment="1" applyFont="1">
      <alignment shrinkToFit="0" vertical="bottom" wrapText="1"/>
    </xf>
    <xf borderId="0" fillId="9" fontId="11" numFmtId="0" xfId="0" applyAlignment="1" applyFont="1">
      <alignment horizontal="left" vertical="bottom"/>
    </xf>
    <xf borderId="0" fillId="0" fontId="12" numFmtId="0" xfId="0" applyAlignment="1" applyFont="1">
      <alignment readingOrder="0" vertical="bottom"/>
    </xf>
    <xf borderId="0" fillId="0" fontId="12" numFmtId="0" xfId="0" applyAlignment="1" applyFont="1">
      <alignment vertical="bottom"/>
    </xf>
    <xf borderId="0" fillId="0" fontId="12" numFmtId="0" xfId="0" applyAlignment="1" applyFont="1">
      <alignment horizontal="right" vertical="bottom"/>
    </xf>
    <xf borderId="0" fillId="0" fontId="12" numFmtId="0" xfId="0" applyAlignment="1" applyFont="1">
      <alignment shrinkToFit="0" vertical="bottom" wrapText="1"/>
    </xf>
    <xf borderId="0" fillId="0" fontId="12" numFmtId="0" xfId="0" applyAlignment="1" applyFont="1">
      <alignment horizontal="left" vertical="bottom"/>
    </xf>
    <xf borderId="0" fillId="0" fontId="12" numFmtId="0" xfId="0" applyAlignment="1" applyFont="1">
      <alignment horizontal="left" vertical="bottom"/>
    </xf>
    <xf borderId="0" fillId="0" fontId="12" numFmtId="0" xfId="0" applyAlignment="1" applyFont="1">
      <alignment vertical="bottom"/>
    </xf>
    <xf borderId="0" fillId="0" fontId="12" numFmtId="0" xfId="0" applyAlignment="1" applyFont="1">
      <alignment readingOrder="0" shrinkToFit="0" vertical="bottom" wrapText="1"/>
    </xf>
    <xf borderId="0" fillId="0" fontId="12" numFmtId="0" xfId="0" applyAlignment="1" applyFont="1">
      <alignment horizontal="left" readingOrder="0" vertical="bottom"/>
    </xf>
    <xf borderId="0" fillId="7" fontId="1" numFmtId="0" xfId="0" applyAlignment="1" applyFont="1">
      <alignment readingOrder="0" shrinkToFit="0" wrapText="1"/>
    </xf>
    <xf borderId="0" fillId="7" fontId="12" numFmtId="0" xfId="0" applyAlignment="1" applyFont="1">
      <alignment readingOrder="0" shrinkToFit="0" vertical="bottom" wrapText="1"/>
    </xf>
    <xf borderId="0" fillId="7" fontId="12" numFmtId="0" xfId="0" applyAlignment="1" applyFont="1">
      <alignment vertical="bottom"/>
    </xf>
    <xf borderId="0" fillId="7" fontId="12" numFmtId="0" xfId="0" applyAlignment="1" applyFont="1">
      <alignment shrinkToFit="0" vertical="bottom" wrapText="1"/>
    </xf>
    <xf borderId="0" fillId="7" fontId="12" numFmtId="0" xfId="0" applyAlignment="1" applyFont="1">
      <alignment horizontal="left" vertical="bottom"/>
    </xf>
    <xf borderId="5" fillId="2" fontId="1" numFmtId="0" xfId="0" applyAlignment="1" applyBorder="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horizontal="left"/>
    </xf>
    <xf borderId="6" fillId="0" fontId="2" numFmtId="0" xfId="0" applyAlignment="1" applyBorder="1" applyFont="1">
      <alignment readingOrder="0" shrinkToFit="0" wrapText="1"/>
    </xf>
    <xf borderId="7" fillId="0" fontId="4" numFmtId="0" xfId="0" applyBorder="1" applyFont="1"/>
    <xf borderId="8" fillId="0" fontId="4" numFmtId="0" xfId="0" applyBorder="1" applyFont="1"/>
    <xf borderId="9" fillId="0" fontId="2" numFmtId="0" xfId="0" applyAlignment="1" applyBorder="1" applyFont="1">
      <alignment readingOrder="0" shrinkToFit="0" wrapText="1"/>
    </xf>
    <xf borderId="10" fillId="0" fontId="4" numFmtId="0" xfId="0" applyBorder="1" applyFont="1"/>
    <xf borderId="11" fillId="0" fontId="4" numFmtId="0" xfId="0" applyBorder="1" applyFont="1"/>
    <xf borderId="12" fillId="2" fontId="1" numFmtId="0" xfId="0" applyBorder="1" applyFont="1"/>
    <xf borderId="0" fillId="0" fontId="2" numFmtId="0" xfId="0" applyFont="1"/>
    <xf borderId="12" fillId="0" fontId="2" numFmtId="0" xfId="0" applyBorder="1" applyFont="1"/>
    <xf borderId="12" fillId="10" fontId="2" numFmtId="164" xfId="0" applyBorder="1" applyFill="1" applyFont="1" applyNumberFormat="1"/>
    <xf borderId="12" fillId="2" fontId="1" numFmtId="0" xfId="0" applyAlignment="1" applyBorder="1" applyFont="1">
      <alignment shrinkToFit="0" wrapText="1"/>
    </xf>
    <xf borderId="12" fillId="0" fontId="2" numFmtId="0" xfId="0" applyBorder="1" applyFont="1"/>
    <xf borderId="12" fillId="0" fontId="2" numFmtId="0" xfId="0" applyAlignment="1" applyBorder="1" applyFont="1">
      <alignment readingOrder="0"/>
    </xf>
    <xf borderId="12" fillId="0" fontId="2" numFmtId="165" xfId="0" applyBorder="1" applyFont="1" applyNumberFormat="1"/>
    <xf borderId="12" fillId="0" fontId="2" numFmtId="164" xfId="0" applyBorder="1" applyFont="1" applyNumberFormat="1"/>
    <xf borderId="12" fillId="0" fontId="2" numFmtId="164" xfId="0" applyAlignment="1" applyBorder="1" applyFont="1" applyNumberFormat="1">
      <alignment readingOrder="0"/>
    </xf>
    <xf borderId="12" fillId="0" fontId="2" numFmtId="165" xfId="0" applyAlignment="1" applyBorder="1" applyFont="1" applyNumberFormat="1">
      <alignment readingOrder="0"/>
    </xf>
    <xf borderId="9" fillId="0" fontId="2" numFmtId="0" xfId="0" applyAlignment="1" applyBorder="1" applyFont="1">
      <alignment shrinkToFit="0" wrapText="1"/>
    </xf>
    <xf borderId="0" fillId="7" fontId="13" numFmtId="0" xfId="0" applyAlignment="1" applyBorder="1" applyFont="1">
      <alignment readingOrder="0" shrinkToFit="0" wrapText="0"/>
    </xf>
    <xf borderId="0" fillId="7" fontId="10" numFmtId="0" xfId="0" applyAlignment="1" applyBorder="1" applyFont="1">
      <alignment shrinkToFit="0" wrapText="0"/>
    </xf>
    <xf borderId="0" fillId="7" fontId="10" numFmtId="0" xfId="0" applyAlignment="1" applyBorder="1" applyFont="1">
      <alignment readingOrder="0" shrinkToFit="0" wrapText="0"/>
    </xf>
    <xf borderId="0" fillId="7" fontId="6" numFmtId="0" xfId="0" applyAlignment="1" applyBorder="1" applyFont="1">
      <alignment readingOrder="0" shrinkToFit="0" wrapText="0"/>
    </xf>
    <xf borderId="0" fillId="7" fontId="6" numFmtId="0" xfId="0" applyAlignment="1" applyBorder="1" applyFont="1">
      <alignment readingOrder="0" shrinkToFit="0" vertical="top" wrapText="0"/>
    </xf>
    <xf borderId="0" fillId="7" fontId="10" numFmtId="0" xfId="0" applyAlignment="1" applyBorder="1" applyFont="1">
      <alignment readingOrder="0" shrinkToFit="0" wrapText="0"/>
    </xf>
    <xf borderId="0" fillId="7" fontId="10" numFmtId="166" xfId="0" applyAlignment="1" applyBorder="1" applyFont="1" applyNumberFormat="1">
      <alignment horizontal="left" readingOrder="0" shrinkToFit="0" wrapText="0"/>
    </xf>
    <xf borderId="0" fillId="7" fontId="10" numFmtId="0" xfId="0" applyAlignment="1" applyBorder="1" applyFont="1">
      <alignment readingOrder="0" shrinkToFit="0" vertical="top" wrapText="0"/>
    </xf>
    <xf borderId="0" fillId="7" fontId="10" numFmtId="0" xfId="0" applyAlignment="1" applyBorder="1" applyFont="1">
      <alignment readingOrder="0" shrinkToFit="0" vertical="top" wrapText="0"/>
    </xf>
    <xf borderId="0" fillId="7" fontId="10" numFmtId="0" xfId="0" applyAlignment="1" applyBorder="1" applyFont="1">
      <alignment readingOrder="0" shrinkToFit="0" wrapText="1"/>
    </xf>
    <xf borderId="0" fillId="0" fontId="4" numFmtId="0" xfId="0" applyBorder="1" applyFont="1"/>
    <xf borderId="0" fillId="0" fontId="4" numFmtId="0" xfId="0" applyBorder="1" applyFont="1"/>
    <xf borderId="13" fillId="7" fontId="10" numFmtId="0" xfId="0" applyAlignment="1" applyBorder="1" applyFont="1">
      <alignment readingOrder="0" shrinkToFit="0" wrapText="1"/>
    </xf>
    <xf borderId="13" fillId="7" fontId="10" numFmtId="0" xfId="0" applyAlignment="1" applyBorder="1" applyFont="1">
      <alignment readingOrder="0" shrinkToFit="0" wrapText="0"/>
    </xf>
    <xf borderId="13" fillId="7" fontId="10" numFmtId="0" xfId="0" applyAlignment="1" applyBorder="1" applyFont="1">
      <alignment readingOrder="0" shrinkToFit="0" wrapText="0"/>
    </xf>
    <xf borderId="0" fillId="0" fontId="3" numFmtId="0" xfId="0" applyAlignment="1" applyFont="1">
      <alignment horizontal="left" readingOrder="0" shrinkToFit="0" vertical="center" wrapText="0"/>
    </xf>
    <xf quotePrefix="1"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167" xfId="0" applyAlignment="1" applyFont="1" applyNumberForma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14">
    <dxf>
      <font/>
      <fill>
        <patternFill patternType="none"/>
      </fill>
      <border/>
    </dxf>
    <dxf>
      <font/>
      <fill>
        <patternFill patternType="solid">
          <fgColor rgb="FFF7FAF0"/>
          <bgColor rgb="FFF7FAF0"/>
        </patternFill>
      </fill>
      <border/>
    </dxf>
    <dxf>
      <font/>
      <fill>
        <patternFill patternType="solid">
          <fgColor rgb="FFFFFFFF"/>
          <bgColor rgb="FFFFFFFF"/>
        </patternFill>
      </fill>
      <border/>
    </dxf>
    <dxf>
      <font/>
      <fill>
        <patternFill patternType="solid">
          <fgColor rgb="FFF7F8FF"/>
          <bgColor rgb="FFF7F8FF"/>
        </patternFill>
      </fill>
      <border/>
    </dxf>
    <dxf>
      <font/>
      <fill>
        <patternFill patternType="solid">
          <fgColor rgb="FFE8F2FF"/>
          <bgColor rgb="FFE8F2FF"/>
        </patternFill>
      </fill>
      <border/>
    </dxf>
    <dxf>
      <font/>
      <fill>
        <patternFill patternType="solid">
          <fgColor rgb="FFD4E4F7"/>
          <bgColor rgb="FFD4E4F7"/>
        </patternFill>
      </fill>
      <border/>
    </dxf>
    <dxf>
      <font/>
      <fill>
        <patternFill patternType="solid">
          <fgColor rgb="FFCFE2F3"/>
          <bgColor rgb="FFCFE2F3"/>
        </patternFill>
      </fill>
      <border/>
    </dxf>
    <dxf>
      <font/>
      <fill>
        <patternFill patternType="solid">
          <fgColor rgb="FFFFCCCC"/>
          <bgColor rgb="FFFFCCCC"/>
        </patternFill>
      </fill>
      <border/>
    </dxf>
    <dxf>
      <font/>
      <fill>
        <patternFill patternType="solid">
          <fgColor rgb="FF4482B5"/>
          <bgColor rgb="FF4482B5"/>
        </patternFill>
      </fill>
      <border/>
    </dxf>
    <dxf>
      <font/>
      <fill>
        <patternFill patternType="solid">
          <fgColor rgb="FFE2EFF9"/>
          <bgColor rgb="FFE2EFF9"/>
        </patternFill>
      </fill>
      <border/>
    </dxf>
    <dxf>
      <font/>
      <fill>
        <patternFill patternType="solid">
          <fgColor rgb="FF2F618B"/>
          <bgColor rgb="FF2F618B"/>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2" pivot="0" name="Hourly Labor Rates-style">
      <tableStyleElement dxfId="1" type="firstRowStripe"/>
      <tableStyleElement dxfId="2" type="secondRowStripe"/>
    </tableStyle>
    <tableStyle count="2" pivot="0" name="Service Rates-style">
      <tableStyleElement dxfId="3" type="firstRowStripe"/>
      <tableStyleElement dxfId="2" type="secondRowStripe"/>
    </tableStyle>
    <tableStyle count="2" pivot="0" name="Recurring Fee Structure-style">
      <tableStyleElement dxfId="4" type="firstRowStripe"/>
      <tableStyleElement dxfId="2" type="secondRowStripe"/>
    </tableStyle>
    <tableStyle count="2" pivot="0" name="Complexity Multipliers-style">
      <tableStyleElement dxfId="5" type="firstRowStripe"/>
      <tableStyleElement dxfId="2" type="secondRowStripe"/>
    </tableStyle>
    <tableStyle count="2" pivot="0" name="Common Packages-style">
      <tableStyleElement dxfId="6" type="firstRowStripe"/>
      <tableStyleElement dxfId="2" type="secondRowStripe"/>
    </tableStyle>
    <tableStyle count="2" pivot="0" name="Material Categories and Labor U-style">
      <tableStyleElement dxfId="2" type="firstRowStripe"/>
      <tableStyleElement dxfId="6" type="secondRowStripe"/>
    </tableStyle>
    <tableStyle count="3" pivot="0" name="Shop Supplies and Consumables-style">
      <tableStyleElement dxfId="8" type="headerRow"/>
      <tableStyleElement dxfId="2" type="firstRowStripe"/>
      <tableStyleElement dxfId="9" type="secondRowStripe"/>
    </tableStyle>
    <tableStyle count="3" pivot="0" name="Summary-style">
      <tableStyleElement dxfId="10" type="headerRow"/>
      <tableStyleElement dxfId="3" type="firstRowStripe"/>
      <tableStyleElement dxfId="2" type="secondRowStripe"/>
    </tableStyle>
    <tableStyle count="3" pivot="0" name="Summary-style 2">
      <tableStyleElement dxfId="10" type="headerRow"/>
      <tableStyleElement dxfId="3" type="firstRowStripe"/>
      <tableStyleElement dxfId="2" type="secondRowStripe"/>
    </tableStyle>
    <tableStyle count="4" pivot="0" name="Version Log-style">
      <tableStyleElement dxfId="11" type="headerRow"/>
      <tableStyleElement dxfId="2" type="firstRowStripe"/>
      <tableStyleElement dxfId="12" type="secondRowStripe"/>
      <tableStyleElement dxfId="13"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8:H12"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Hourly Labor Rates-style" showColumnStripes="0" showFirstColumn="1" showLastColumn="1" showRowStripes="1"/>
</table>
</file>

<file path=xl/tables/table2.xml><?xml version="1.0" encoding="utf-8"?>
<table xmlns="http://schemas.openxmlformats.org/spreadsheetml/2006/main" headerRowCount="0" ref="A9:F18" displayName="Table_2" name="Table_2" id="2">
  <tableColumns count="6">
    <tableColumn name="Column1" id="1"/>
    <tableColumn name="Column2" id="2"/>
    <tableColumn name="Column3" id="3"/>
    <tableColumn name="Column4" id="4"/>
    <tableColumn name="Column5" id="5"/>
    <tableColumn name="Column6" id="6"/>
  </tableColumns>
  <tableStyleInfo name="Service Rates-style" showColumnStripes="0" showFirstColumn="1" showLastColumn="1" showRowStripes="1"/>
</table>
</file>

<file path=xl/tables/table3.xml><?xml version="1.0" encoding="utf-8"?>
<table xmlns="http://schemas.openxmlformats.org/spreadsheetml/2006/main" headerRowCount="0" ref="A5:H16" displayName="Table_3" name="Table_3"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Recurring Fee Structure-style" showColumnStripes="0" showFirstColumn="1" showLastColumn="1" showRowStripes="1"/>
</table>
</file>

<file path=xl/tables/table4.xml><?xml version="1.0" encoding="utf-8"?>
<table xmlns="http://schemas.openxmlformats.org/spreadsheetml/2006/main" headerRowCount="0" ref="A2:F11" displayName="Table_4" name="Table_4" id="4">
  <tableColumns count="6">
    <tableColumn name="Column1" id="1"/>
    <tableColumn name="Column2" id="2"/>
    <tableColumn name="Column3" id="3"/>
    <tableColumn name="Column4" id="4"/>
    <tableColumn name="Column5" id="5"/>
    <tableColumn name="Column6" id="6"/>
  </tableColumns>
  <tableStyleInfo name="Complexity Multipliers-style" showColumnStripes="0" showFirstColumn="1" showLastColumn="1" showRowStripes="1"/>
</table>
</file>

<file path=xl/tables/table5.xml><?xml version="1.0" encoding="utf-8"?>
<table xmlns="http://schemas.openxmlformats.org/spreadsheetml/2006/main" headerRowCount="0" ref="A2:F8" displayName="Table_5" name="Table_5" id="5">
  <tableColumns count="6">
    <tableColumn name="Column1" id="1"/>
    <tableColumn name="Column2" id="2"/>
    <tableColumn name="Column3" id="3"/>
    <tableColumn name="Column4" id="4"/>
    <tableColumn name="Column5" id="5"/>
    <tableColumn name="Column6" id="6"/>
  </tableColumns>
  <tableStyleInfo name="Common Packages-style" showColumnStripes="0" showFirstColumn="1" showLastColumn="1" showRowStripes="1"/>
</table>
</file>

<file path=xl/tables/table6.xml><?xml version="1.0" encoding="utf-8"?>
<table xmlns="http://schemas.openxmlformats.org/spreadsheetml/2006/main" headerRowCount="0" ref="A4:H182" displayName="Table_6" name="Table_6"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Material Categories and Labor U-style" showColumnStripes="0" showFirstColumn="1" showLastColumn="1" showRowStripes="1"/>
</table>
</file>

<file path=xl/tables/table7.xml><?xml version="1.0" encoding="utf-8"?>
<table xmlns="http://schemas.openxmlformats.org/spreadsheetml/2006/main" ref="A4:J27" displayName="Table_7" name="Table_7" id="7">
  <tableColumns count="10">
    <tableColumn name="Item Description" id="1"/>
    <tableColumn name="SKU" id="2"/>
    <tableColumn name="Category" id="3"/>
    <tableColumn name="Unit of Measure" id="4"/>
    <tableColumn name="Waste Factor Percentage" id="5"/>
    <tableColumn name="Base Cost" id="6"/>
    <tableColumn name="Markup Percentage" id="7"/>
    <tableColumn name="Billing Rate" id="8"/>
    <tableColumn name="Supplier" id="9"/>
    <tableColumn name="Labor Rate" id="10"/>
  </tableColumns>
  <tableStyleInfo name="Shop Supplies and Consumables-style" showColumnStripes="0" showFirstColumn="1" showLastColumn="1" showRowStripes="1"/>
</table>
</file>

<file path=xl/tables/table8.xml><?xml version="1.0" encoding="utf-8"?>
<table xmlns="http://schemas.openxmlformats.org/spreadsheetml/2006/main" ref="A3:F4" displayName="Table_8" name="Table_8" id="8">
  <tableColumns count="6">
    <tableColumn name="Current Version" id="1"/>
    <tableColumn name="Last Modified" id="2"/>
    <tableColumn name="Block 1 (Major) Trigger" id="3"/>
    <tableColumn name="Block 2 (Minor) Trigger" id="4"/>
    <tableColumn name="Block 3 (Line) Trigger" id="5"/>
    <tableColumn name="Status" id="6"/>
  </tableColumns>
  <tableStyleInfo name="Summary-style" showColumnStripes="0" showFirstColumn="1" showLastColumn="1" showRowStripes="1"/>
</table>
</file>

<file path=xl/tables/table9.xml><?xml version="1.0" encoding="utf-8"?>
<table xmlns="http://schemas.openxmlformats.org/spreadsheetml/2006/main" ref="A10:C16" displayName="Table_9" name="Table_9" id="9">
  <tableColumns count="3">
    <tableColumn name="Tab Name" id="1"/>
    <tableColumn name="Description" id="2"/>
    <tableColumn name="Primary Use" id="3"/>
  </tableColumns>
  <tableStyleInfo name="Summary-style 2" showColumnStripes="0" showFirstColumn="1" showLastColumn="1" showRowStripes="1"/>
</table>
</file>

<file path=xl/tables/table10.xml><?xml version="1.0" encoding="utf-8"?>
<table xmlns="http://schemas.openxmlformats.org/spreadsheetml/2006/main" ref="A1:D147" displayName="Version_Log" name="Version_Log" id="10">
  <tableColumns count="4">
    <tableColumn name="Timestamp" id="1"/>
    <tableColumn name="Version" id="2"/>
    <tableColumn name="User" id="3"/>
    <tableColumn name="Note" id="4"/>
  </tableColumns>
  <tableStyleInfo name="Version 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8.xml"/><Relationship Id="rId5"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31.75"/>
    <col customWidth="1" min="2" max="2" width="19.38"/>
    <col customWidth="1" min="3" max="3" width="11.5"/>
    <col customWidth="1" min="4" max="4" width="11.38"/>
    <col customWidth="1" min="5" max="5" width="15.0"/>
    <col customWidth="1" min="6" max="6" width="17.25"/>
    <col customWidth="1" min="7" max="7" width="10.25"/>
    <col customWidth="1" min="8" max="8" width="11.63"/>
  </cols>
  <sheetData>
    <row r="1">
      <c r="A1" s="1" t="s">
        <v>0</v>
      </c>
    </row>
    <row r="2">
      <c r="A2" s="2" t="s">
        <v>1</v>
      </c>
      <c r="B2" s="3">
        <v>1.85</v>
      </c>
    </row>
    <row r="3">
      <c r="A3" s="2" t="s">
        <v>2</v>
      </c>
      <c r="B3" s="3">
        <v>1.89</v>
      </c>
    </row>
    <row r="4">
      <c r="A4" s="2" t="s">
        <v>3</v>
      </c>
      <c r="B4" s="3">
        <v>1.45</v>
      </c>
    </row>
    <row r="5">
      <c r="A5" s="2" t="s">
        <v>4</v>
      </c>
      <c r="B5" s="3">
        <v>1.75</v>
      </c>
    </row>
    <row r="7">
      <c r="A7" s="4" t="s">
        <v>5</v>
      </c>
      <c r="B7" s="4" t="s">
        <v>6</v>
      </c>
      <c r="C7" s="4" t="s">
        <v>7</v>
      </c>
      <c r="D7" s="4" t="s">
        <v>8</v>
      </c>
      <c r="E7" s="4" t="s">
        <v>9</v>
      </c>
      <c r="F7" s="4" t="s">
        <v>10</v>
      </c>
      <c r="G7" s="4" t="s">
        <v>11</v>
      </c>
      <c r="H7" s="4" t="s">
        <v>12</v>
      </c>
    </row>
    <row r="8">
      <c r="A8" s="5" t="s">
        <v>13</v>
      </c>
      <c r="B8" s="5" t="s">
        <v>14</v>
      </c>
      <c r="C8" s="6">
        <v>18.0</v>
      </c>
      <c r="D8" s="7">
        <f t="shared" ref="D8:D12" si="1">C8*$B$2</f>
        <v>33.3</v>
      </c>
      <c r="E8" s="7">
        <f t="shared" ref="E8:E12" si="2">D8*$B$3</f>
        <v>62.937</v>
      </c>
      <c r="F8" s="7">
        <f t="shared" ref="F8:F12" si="3">E8*$B$4</f>
        <v>91.25865</v>
      </c>
      <c r="G8" s="7">
        <f t="shared" ref="G8:G12" si="4">E8*$B$5</f>
        <v>110.13975</v>
      </c>
      <c r="H8" s="8">
        <v>0.5</v>
      </c>
    </row>
    <row r="9">
      <c r="A9" s="9" t="s">
        <v>15</v>
      </c>
      <c r="B9" s="9" t="s">
        <v>16</v>
      </c>
      <c r="C9" s="10">
        <v>26.0</v>
      </c>
      <c r="D9" s="11">
        <f t="shared" si="1"/>
        <v>48.1</v>
      </c>
      <c r="E9" s="11">
        <f t="shared" si="2"/>
        <v>90.909</v>
      </c>
      <c r="F9" s="11">
        <f t="shared" si="3"/>
        <v>131.81805</v>
      </c>
      <c r="G9" s="11">
        <f t="shared" si="4"/>
        <v>159.09075</v>
      </c>
      <c r="H9" s="12">
        <v>0.2</v>
      </c>
    </row>
    <row r="10">
      <c r="A10" s="5" t="s">
        <v>17</v>
      </c>
      <c r="B10" s="5" t="s">
        <v>18</v>
      </c>
      <c r="C10" s="6">
        <v>32.0</v>
      </c>
      <c r="D10" s="7">
        <f t="shared" si="1"/>
        <v>59.2</v>
      </c>
      <c r="E10" s="7">
        <f t="shared" si="2"/>
        <v>111.888</v>
      </c>
      <c r="F10" s="7">
        <f t="shared" si="3"/>
        <v>162.2376</v>
      </c>
      <c r="G10" s="7">
        <f t="shared" si="4"/>
        <v>195.804</v>
      </c>
      <c r="H10" s="8">
        <v>0.15</v>
      </c>
    </row>
    <row r="11">
      <c r="A11" s="9" t="s">
        <v>19</v>
      </c>
      <c r="B11" s="9" t="s">
        <v>20</v>
      </c>
      <c r="C11" s="10">
        <v>43.0</v>
      </c>
      <c r="D11" s="11">
        <f t="shared" si="1"/>
        <v>79.55</v>
      </c>
      <c r="E11" s="11">
        <f t="shared" si="2"/>
        <v>150.3495</v>
      </c>
      <c r="F11" s="11">
        <f t="shared" si="3"/>
        <v>218.006775</v>
      </c>
      <c r="G11" s="11">
        <f t="shared" si="4"/>
        <v>263.111625</v>
      </c>
      <c r="H11" s="12">
        <v>0.15</v>
      </c>
    </row>
    <row r="12">
      <c r="A12" s="5" t="s">
        <v>21</v>
      </c>
      <c r="B12" s="5" t="s">
        <v>22</v>
      </c>
      <c r="C12" s="6">
        <v>22.0</v>
      </c>
      <c r="D12" s="7">
        <f t="shared" si="1"/>
        <v>40.7</v>
      </c>
      <c r="E12" s="7">
        <f t="shared" si="2"/>
        <v>76.923</v>
      </c>
      <c r="F12" s="7">
        <f t="shared" si="3"/>
        <v>111.53835</v>
      </c>
      <c r="G12" s="7">
        <f t="shared" si="4"/>
        <v>134.61525</v>
      </c>
      <c r="H12" s="8">
        <v>0.0</v>
      </c>
    </row>
    <row r="13">
      <c r="A13" s="13" t="s">
        <v>23</v>
      </c>
      <c r="B13" s="14"/>
      <c r="C13" s="15"/>
      <c r="D13" s="15"/>
      <c r="E13" s="15"/>
      <c r="F13" s="15"/>
      <c r="G13" s="16"/>
      <c r="H13" s="17">
        <f>SUM(H8:H11)</f>
        <v>1</v>
      </c>
    </row>
    <row r="15">
      <c r="A15" s="18" t="s">
        <v>24</v>
      </c>
    </row>
    <row r="16">
      <c r="A16" s="19" t="s">
        <v>25</v>
      </c>
      <c r="B16" s="15"/>
      <c r="C16" s="16"/>
    </row>
    <row r="17">
      <c r="A17" s="19" t="s">
        <v>26</v>
      </c>
      <c r="B17" s="15"/>
      <c r="C17" s="16"/>
    </row>
    <row r="18">
      <c r="A18" s="19" t="s">
        <v>27</v>
      </c>
      <c r="B18" s="15"/>
      <c r="C18" s="16"/>
    </row>
    <row r="19">
      <c r="A19" s="19" t="s">
        <v>28</v>
      </c>
      <c r="B19" s="15"/>
      <c r="C19" s="16"/>
    </row>
  </sheetData>
  <mergeCells count="5">
    <mergeCell ref="B13:G13"/>
    <mergeCell ref="A16:C16"/>
    <mergeCell ref="A17:C17"/>
    <mergeCell ref="A18:C18"/>
    <mergeCell ref="A19:C19"/>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31.38"/>
    <col customWidth="1" min="2" max="2" width="15.13"/>
    <col customWidth="1" min="3" max="3" width="11.38"/>
    <col customWidth="1" min="4" max="5" width="12.63"/>
    <col customWidth="1" min="6" max="6" width="37.63"/>
  </cols>
  <sheetData>
    <row r="1">
      <c r="A1" s="20" t="s">
        <v>29</v>
      </c>
    </row>
    <row r="2">
      <c r="A2" s="2" t="s">
        <v>30</v>
      </c>
      <c r="B2" s="21">
        <f>'Hourly Labor Rates'!E8</f>
        <v>62.937</v>
      </c>
    </row>
    <row r="3">
      <c r="A3" s="2" t="s">
        <v>31</v>
      </c>
      <c r="B3" s="21">
        <f>'Hourly Labor Rates'!F8</f>
        <v>91.25865</v>
      </c>
    </row>
    <row r="4">
      <c r="A4" s="2" t="s">
        <v>32</v>
      </c>
      <c r="B4" s="22">
        <v>0.7</v>
      </c>
    </row>
    <row r="5">
      <c r="A5" s="2" t="s">
        <v>33</v>
      </c>
      <c r="B5" s="23">
        <v>2.0</v>
      </c>
    </row>
    <row r="6">
      <c r="A6" s="2" t="s">
        <v>34</v>
      </c>
      <c r="B6" s="23">
        <v>4.0</v>
      </c>
    </row>
    <row r="8">
      <c r="A8" s="24" t="s">
        <v>35</v>
      </c>
      <c r="B8" s="24" t="s">
        <v>6</v>
      </c>
      <c r="C8" s="24" t="s">
        <v>36</v>
      </c>
      <c r="D8" s="24" t="s">
        <v>37</v>
      </c>
      <c r="E8" s="24" t="s">
        <v>31</v>
      </c>
      <c r="F8" s="24" t="s">
        <v>38</v>
      </c>
    </row>
    <row r="9">
      <c r="A9" s="5" t="s">
        <v>39</v>
      </c>
      <c r="B9" s="5" t="s">
        <v>40</v>
      </c>
      <c r="C9" s="5" t="s">
        <v>41</v>
      </c>
      <c r="D9" s="7">
        <f>$B$2*$B$5</f>
        <v>125.874</v>
      </c>
      <c r="E9" s="7">
        <f>$B$3*$B$6</f>
        <v>365.0346</v>
      </c>
      <c r="F9" s="25" t="s">
        <v>42</v>
      </c>
    </row>
    <row r="10">
      <c r="A10" s="9" t="s">
        <v>43</v>
      </c>
      <c r="B10" s="9" t="s">
        <v>44</v>
      </c>
      <c r="C10" s="9" t="s">
        <v>45</v>
      </c>
      <c r="D10" s="11">
        <f>$B$2</f>
        <v>62.937</v>
      </c>
      <c r="E10" s="11">
        <f>$B$3</f>
        <v>91.25865</v>
      </c>
      <c r="F10" s="26" t="s">
        <v>46</v>
      </c>
    </row>
    <row r="11">
      <c r="A11" s="5" t="s">
        <v>47</v>
      </c>
      <c r="B11" s="5" t="s">
        <v>48</v>
      </c>
      <c r="C11" s="5" t="s">
        <v>41</v>
      </c>
      <c r="D11" s="7">
        <f>$B$2*$B$6</f>
        <v>251.748</v>
      </c>
      <c r="E11" s="7">
        <f>$B$3*$B$6</f>
        <v>365.0346</v>
      </c>
      <c r="F11" s="25" t="s">
        <v>42</v>
      </c>
    </row>
    <row r="12">
      <c r="A12" s="9" t="s">
        <v>49</v>
      </c>
      <c r="B12" s="9" t="s">
        <v>50</v>
      </c>
      <c r="C12" s="9" t="s">
        <v>45</v>
      </c>
      <c r="D12" s="11">
        <f t="shared" ref="D12:E12" si="1">$B$3</f>
        <v>91.25865</v>
      </c>
      <c r="E12" s="11">
        <f t="shared" si="1"/>
        <v>91.25865</v>
      </c>
      <c r="F12" s="26" t="s">
        <v>46</v>
      </c>
    </row>
    <row r="13">
      <c r="A13" s="5" t="s">
        <v>51</v>
      </c>
      <c r="B13" s="5" t="s">
        <v>52</v>
      </c>
      <c r="C13" s="5" t="s">
        <v>45</v>
      </c>
      <c r="D13" s="7">
        <f>$B$2</f>
        <v>62.937</v>
      </c>
      <c r="E13" s="7">
        <f>$B$3</f>
        <v>91.25865</v>
      </c>
      <c r="F13" s="25" t="s">
        <v>53</v>
      </c>
    </row>
    <row r="14">
      <c r="A14" s="9" t="s">
        <v>54</v>
      </c>
      <c r="B14" s="9" t="s">
        <v>55</v>
      </c>
      <c r="C14" s="9" t="s">
        <v>45</v>
      </c>
      <c r="D14" s="11">
        <f>$B$2*0.5</f>
        <v>31.4685</v>
      </c>
      <c r="E14" s="11">
        <f>$B$3*0.5</f>
        <v>45.629325</v>
      </c>
      <c r="F14" s="26" t="s">
        <v>56</v>
      </c>
    </row>
    <row r="15">
      <c r="A15" s="5" t="s">
        <v>57</v>
      </c>
      <c r="B15" s="5" t="s">
        <v>58</v>
      </c>
      <c r="C15" s="5" t="s">
        <v>59</v>
      </c>
      <c r="D15" s="7">
        <f t="shared" ref="D15:E15" si="2">$B$4</f>
        <v>0.7</v>
      </c>
      <c r="E15" s="7">
        <f t="shared" si="2"/>
        <v>0.7</v>
      </c>
      <c r="F15" s="25" t="s">
        <v>60</v>
      </c>
    </row>
    <row r="16">
      <c r="A16" s="9" t="s">
        <v>61</v>
      </c>
      <c r="B16" s="9" t="s">
        <v>62</v>
      </c>
      <c r="C16" s="9" t="s">
        <v>63</v>
      </c>
      <c r="D16" s="10">
        <v>350.0</v>
      </c>
      <c r="E16" s="10">
        <v>350.0</v>
      </c>
      <c r="F16" s="26" t="s">
        <v>64</v>
      </c>
    </row>
    <row r="17">
      <c r="A17" s="5" t="s">
        <v>65</v>
      </c>
      <c r="B17" s="5" t="s">
        <v>66</v>
      </c>
      <c r="C17" s="5" t="s">
        <v>67</v>
      </c>
      <c r="D17" s="6">
        <v>1080.0</v>
      </c>
      <c r="E17" s="6">
        <v>1080.0</v>
      </c>
      <c r="F17" s="25" t="s">
        <v>68</v>
      </c>
    </row>
    <row r="18">
      <c r="A18" s="2" t="s">
        <v>69</v>
      </c>
      <c r="B18" s="2" t="s">
        <v>70</v>
      </c>
      <c r="C18" s="2" t="s">
        <v>71</v>
      </c>
      <c r="D18" s="27">
        <v>50.0</v>
      </c>
      <c r="E18" s="27">
        <v>50.0</v>
      </c>
      <c r="F18" s="28" t="s">
        <v>72</v>
      </c>
    </row>
    <row r="20">
      <c r="A20" s="20" t="s">
        <v>38</v>
      </c>
    </row>
    <row r="21">
      <c r="A21" s="19" t="s">
        <v>73</v>
      </c>
      <c r="B21" s="15"/>
      <c r="C21" s="16"/>
    </row>
    <row r="22">
      <c r="A22" s="19" t="s">
        <v>74</v>
      </c>
      <c r="B22" s="15"/>
      <c r="C22" s="16"/>
    </row>
    <row r="23">
      <c r="A23" s="19" t="s">
        <v>75</v>
      </c>
      <c r="B23" s="15"/>
      <c r="C23" s="16"/>
    </row>
    <row r="24">
      <c r="A24" s="19" t="s">
        <v>76</v>
      </c>
      <c r="B24" s="15"/>
      <c r="C24" s="16"/>
    </row>
    <row r="25">
      <c r="A25" s="19" t="s">
        <v>77</v>
      </c>
      <c r="B25" s="15"/>
      <c r="C25" s="16"/>
    </row>
    <row r="26">
      <c r="A26" s="19" t="s">
        <v>78</v>
      </c>
      <c r="B26" s="15"/>
      <c r="C26" s="16"/>
    </row>
  </sheetData>
  <mergeCells count="6">
    <mergeCell ref="A21:C21"/>
    <mergeCell ref="A22:C22"/>
    <mergeCell ref="A23:C23"/>
    <mergeCell ref="A24:C24"/>
    <mergeCell ref="A25:C25"/>
    <mergeCell ref="A26:C26"/>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31.38"/>
    <col customWidth="1" min="2" max="2" width="16.75"/>
    <col customWidth="1" min="3" max="3" width="10.13"/>
    <col customWidth="1" hidden="1" min="4" max="4" width="12.63"/>
    <col customWidth="1" min="5" max="5" width="21.13"/>
    <col customWidth="1" min="6" max="6" width="18.88"/>
    <col customWidth="1" min="7" max="7" width="12.63"/>
    <col customWidth="1" min="8" max="8" width="37.63"/>
  </cols>
  <sheetData>
    <row r="1">
      <c r="A1" s="29" t="s">
        <v>79</v>
      </c>
    </row>
    <row r="2">
      <c r="A2" s="30" t="s">
        <v>80</v>
      </c>
      <c r="B2" s="31">
        <v>0.3</v>
      </c>
    </row>
    <row r="4">
      <c r="A4" s="32" t="s">
        <v>81</v>
      </c>
      <c r="B4" s="32" t="s">
        <v>6</v>
      </c>
      <c r="C4" s="32" t="s">
        <v>36</v>
      </c>
      <c r="D4" s="32" t="s">
        <v>82</v>
      </c>
      <c r="E4" s="32" t="s">
        <v>83</v>
      </c>
      <c r="F4" s="32" t="s">
        <v>84</v>
      </c>
      <c r="G4" s="32" t="s">
        <v>85</v>
      </c>
      <c r="H4" s="32" t="s">
        <v>38</v>
      </c>
    </row>
    <row r="5">
      <c r="A5" s="33" t="s">
        <v>86</v>
      </c>
      <c r="B5" s="34" t="s">
        <v>87</v>
      </c>
      <c r="C5" s="35" t="s">
        <v>88</v>
      </c>
      <c r="D5" s="36">
        <v>375.0</v>
      </c>
      <c r="E5" s="37">
        <f>D5*(1+$B$2)</f>
        <v>487.5</v>
      </c>
      <c r="F5" s="37">
        <f t="shared" ref="F5:F16" si="1">E5*0.9</f>
        <v>438.75</v>
      </c>
      <c r="G5" s="35" t="s">
        <v>89</v>
      </c>
      <c r="H5" s="33" t="s">
        <v>90</v>
      </c>
    </row>
    <row r="6">
      <c r="A6" s="38" t="s">
        <v>91</v>
      </c>
      <c r="B6" s="39" t="s">
        <v>92</v>
      </c>
      <c r="C6" s="39" t="s">
        <v>88</v>
      </c>
      <c r="D6" s="40">
        <v>750.0</v>
      </c>
      <c r="E6" s="41">
        <f t="shared" ref="E6:E9" si="2">D6*(1+$B$2)</f>
        <v>975</v>
      </c>
      <c r="F6" s="41">
        <f t="shared" si="1"/>
        <v>877.5</v>
      </c>
      <c r="G6" s="39" t="s">
        <v>89</v>
      </c>
      <c r="H6" s="38" t="s">
        <v>93</v>
      </c>
    </row>
    <row r="7">
      <c r="A7" s="33" t="s">
        <v>94</v>
      </c>
      <c r="B7" s="34" t="s">
        <v>95</v>
      </c>
      <c r="C7" s="34" t="s">
        <v>88</v>
      </c>
      <c r="D7" s="36">
        <v>1000.0</v>
      </c>
      <c r="E7" s="37">
        <f t="shared" si="2"/>
        <v>1300</v>
      </c>
      <c r="F7" s="37">
        <f t="shared" si="1"/>
        <v>1170</v>
      </c>
      <c r="G7" s="34" t="s">
        <v>89</v>
      </c>
      <c r="H7" s="33" t="s">
        <v>96</v>
      </c>
    </row>
    <row r="8">
      <c r="A8" s="38" t="s">
        <v>97</v>
      </c>
      <c r="B8" s="39" t="s">
        <v>98</v>
      </c>
      <c r="C8" s="39" t="s">
        <v>88</v>
      </c>
      <c r="D8" s="40">
        <v>1850.0</v>
      </c>
      <c r="E8" s="41">
        <f t="shared" si="2"/>
        <v>2405</v>
      </c>
      <c r="F8" s="41">
        <f t="shared" si="1"/>
        <v>2164.5</v>
      </c>
      <c r="G8" s="39" t="s">
        <v>89</v>
      </c>
      <c r="H8" s="38" t="s">
        <v>99</v>
      </c>
    </row>
    <row r="9">
      <c r="A9" s="33" t="s">
        <v>100</v>
      </c>
      <c r="B9" s="34" t="s">
        <v>101</v>
      </c>
      <c r="C9" s="34" t="s">
        <v>88</v>
      </c>
      <c r="D9" s="36">
        <v>2300.0</v>
      </c>
      <c r="E9" s="37">
        <f t="shared" si="2"/>
        <v>2990</v>
      </c>
      <c r="F9" s="37">
        <f t="shared" si="1"/>
        <v>2691</v>
      </c>
      <c r="G9" s="34" t="s">
        <v>89</v>
      </c>
      <c r="H9" s="33" t="s">
        <v>102</v>
      </c>
    </row>
    <row r="10">
      <c r="A10" s="42" t="s">
        <v>103</v>
      </c>
      <c r="B10" s="42" t="s">
        <v>104</v>
      </c>
      <c r="C10" s="42" t="s">
        <v>105</v>
      </c>
      <c r="D10" s="43">
        <v>39.99</v>
      </c>
      <c r="E10" s="44">
        <f>D10*(1+$B$2)</f>
        <v>51.987</v>
      </c>
      <c r="F10" s="44">
        <f t="shared" si="1"/>
        <v>46.7883</v>
      </c>
      <c r="G10" s="42" t="s">
        <v>106</v>
      </c>
      <c r="H10" s="45" t="s">
        <v>107</v>
      </c>
    </row>
    <row r="11">
      <c r="A11" s="46" t="s">
        <v>103</v>
      </c>
      <c r="B11" s="46" t="s">
        <v>104</v>
      </c>
      <c r="C11" s="46" t="s">
        <v>105</v>
      </c>
      <c r="D11" s="47">
        <v>18.99</v>
      </c>
      <c r="E11" s="48">
        <f>D11*(1+$B$2)</f>
        <v>24.687</v>
      </c>
      <c r="F11" s="48">
        <f t="shared" si="1"/>
        <v>22.2183</v>
      </c>
      <c r="G11" s="46" t="s">
        <v>106</v>
      </c>
      <c r="H11" s="49" t="s">
        <v>107</v>
      </c>
    </row>
    <row r="12">
      <c r="A12" s="35" t="s">
        <v>108</v>
      </c>
      <c r="B12" s="34" t="s">
        <v>109</v>
      </c>
      <c r="C12" s="35" t="s">
        <v>105</v>
      </c>
      <c r="D12" s="36">
        <v>49.99</v>
      </c>
      <c r="E12" s="37">
        <f t="shared" ref="E12:E13" si="3">D12*(1+$B$2)</f>
        <v>64.987</v>
      </c>
      <c r="F12" s="37">
        <f t="shared" si="1"/>
        <v>58.4883</v>
      </c>
      <c r="G12" s="35" t="s">
        <v>106</v>
      </c>
      <c r="H12" s="33" t="s">
        <v>110</v>
      </c>
    </row>
    <row r="13">
      <c r="A13" s="50" t="s">
        <v>111</v>
      </c>
      <c r="B13" s="50" t="s">
        <v>112</v>
      </c>
      <c r="C13" s="50" t="s">
        <v>105</v>
      </c>
      <c r="D13" s="43">
        <v>20.0</v>
      </c>
      <c r="E13" s="44">
        <f t="shared" si="3"/>
        <v>26</v>
      </c>
      <c r="F13" s="44">
        <f t="shared" si="1"/>
        <v>23.4</v>
      </c>
      <c r="G13" s="50" t="s">
        <v>106</v>
      </c>
      <c r="H13" s="45" t="s">
        <v>113</v>
      </c>
    </row>
    <row r="14">
      <c r="A14" s="34" t="s">
        <v>114</v>
      </c>
      <c r="B14" s="34" t="s">
        <v>115</v>
      </c>
      <c r="C14" s="34" t="s">
        <v>105</v>
      </c>
      <c r="D14" s="36">
        <v>20.0</v>
      </c>
      <c r="E14" s="37">
        <f t="shared" ref="E14:E16" si="4">D14*(1+$B$2)</f>
        <v>26</v>
      </c>
      <c r="F14" s="37">
        <f t="shared" si="1"/>
        <v>23.4</v>
      </c>
      <c r="G14" s="34" t="s">
        <v>106</v>
      </c>
      <c r="H14" s="33" t="s">
        <v>116</v>
      </c>
    </row>
    <row r="15">
      <c r="A15" s="50" t="s">
        <v>117</v>
      </c>
      <c r="B15" s="50" t="s">
        <v>118</v>
      </c>
      <c r="C15" s="50" t="s">
        <v>88</v>
      </c>
      <c r="D15" s="43">
        <v>50.0</v>
      </c>
      <c r="E15" s="44">
        <f t="shared" si="4"/>
        <v>65</v>
      </c>
      <c r="F15" s="44">
        <f t="shared" si="1"/>
        <v>58.5</v>
      </c>
      <c r="G15" s="50" t="s">
        <v>89</v>
      </c>
      <c r="H15" s="45" t="s">
        <v>119</v>
      </c>
    </row>
    <row r="16">
      <c r="A16" s="34" t="s">
        <v>120</v>
      </c>
      <c r="B16" s="34" t="s">
        <v>121</v>
      </c>
      <c r="C16" s="34" t="s">
        <v>88</v>
      </c>
      <c r="D16" s="51">
        <v>0.12</v>
      </c>
      <c r="E16" s="52">
        <f t="shared" si="4"/>
        <v>0.156</v>
      </c>
      <c r="F16" s="52">
        <f t="shared" si="1"/>
        <v>0.1404</v>
      </c>
      <c r="G16" s="34" t="s">
        <v>89</v>
      </c>
      <c r="H16" s="33" t="s">
        <v>122</v>
      </c>
    </row>
    <row r="18">
      <c r="A18" s="29" t="s">
        <v>38</v>
      </c>
    </row>
    <row r="19">
      <c r="A19" s="53" t="s">
        <v>123</v>
      </c>
      <c r="B19" s="15"/>
      <c r="C19" s="16"/>
    </row>
    <row r="20">
      <c r="A20" s="53" t="s">
        <v>124</v>
      </c>
      <c r="B20" s="15"/>
      <c r="C20" s="16"/>
    </row>
    <row r="21">
      <c r="A21" s="53" t="s">
        <v>125</v>
      </c>
      <c r="B21" s="15"/>
      <c r="C21" s="16"/>
    </row>
    <row r="22">
      <c r="A22" s="53" t="s">
        <v>126</v>
      </c>
      <c r="B22" s="15"/>
      <c r="C22" s="16"/>
    </row>
    <row r="23">
      <c r="A23" s="53" t="s">
        <v>127</v>
      </c>
      <c r="B23" s="15"/>
      <c r="C23" s="16"/>
    </row>
  </sheetData>
  <mergeCells count="5">
    <mergeCell ref="A19:C19"/>
    <mergeCell ref="A20:C20"/>
    <mergeCell ref="A21:C21"/>
    <mergeCell ref="A22:C22"/>
    <mergeCell ref="A23:C23"/>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1.38"/>
    <col customWidth="1" min="2" max="2" width="18.88"/>
    <col customWidth="1" min="3" max="4" width="15.13"/>
    <col customWidth="1" min="5" max="5" width="16.88"/>
    <col customWidth="1" min="6" max="6" width="50.13"/>
  </cols>
  <sheetData>
    <row r="1">
      <c r="A1" s="54" t="s">
        <v>128</v>
      </c>
      <c r="B1" s="54" t="s">
        <v>129</v>
      </c>
      <c r="C1" s="54" t="s">
        <v>130</v>
      </c>
      <c r="D1" s="54" t="s">
        <v>131</v>
      </c>
      <c r="E1" s="54" t="s">
        <v>132</v>
      </c>
      <c r="F1" s="54" t="s">
        <v>133</v>
      </c>
    </row>
    <row r="2">
      <c r="A2" s="55" t="s">
        <v>134</v>
      </c>
      <c r="B2" s="55" t="s">
        <v>135</v>
      </c>
      <c r="C2" s="55" t="s">
        <v>136</v>
      </c>
      <c r="D2" s="55" t="s">
        <v>137</v>
      </c>
      <c r="E2" s="56">
        <v>0.08</v>
      </c>
      <c r="F2" s="55" t="s">
        <v>138</v>
      </c>
    </row>
    <row r="3">
      <c r="A3" s="55" t="s">
        <v>139</v>
      </c>
      <c r="B3" s="55" t="s">
        <v>135</v>
      </c>
      <c r="C3" s="55" t="s">
        <v>136</v>
      </c>
      <c r="D3" s="55" t="s">
        <v>137</v>
      </c>
      <c r="E3" s="56">
        <v>0.1</v>
      </c>
      <c r="F3" s="55" t="s">
        <v>140</v>
      </c>
    </row>
    <row r="4">
      <c r="A4" s="55" t="s">
        <v>141</v>
      </c>
      <c r="B4" s="55" t="s">
        <v>135</v>
      </c>
      <c r="C4" s="55" t="s">
        <v>136</v>
      </c>
      <c r="D4" s="55" t="s">
        <v>137</v>
      </c>
      <c r="E4" s="56">
        <v>0.12</v>
      </c>
      <c r="F4" s="55" t="s">
        <v>142</v>
      </c>
    </row>
    <row r="5">
      <c r="A5" s="55" t="s">
        <v>143</v>
      </c>
      <c r="B5" s="55" t="s">
        <v>144</v>
      </c>
      <c r="C5" s="55" t="s">
        <v>136</v>
      </c>
      <c r="D5" s="55" t="s">
        <v>137</v>
      </c>
      <c r="E5" s="56">
        <v>0.2</v>
      </c>
      <c r="F5" s="55" t="s">
        <v>145</v>
      </c>
    </row>
    <row r="6">
      <c r="A6" s="55" t="s">
        <v>146</v>
      </c>
      <c r="B6" s="55" t="s">
        <v>144</v>
      </c>
      <c r="C6" s="55" t="s">
        <v>136</v>
      </c>
      <c r="D6" s="55" t="s">
        <v>137</v>
      </c>
      <c r="E6" s="56">
        <v>0.08</v>
      </c>
      <c r="F6" s="55" t="s">
        <v>147</v>
      </c>
    </row>
    <row r="7">
      <c r="A7" s="55" t="s">
        <v>148</v>
      </c>
      <c r="B7" s="55" t="s">
        <v>135</v>
      </c>
      <c r="C7" s="55" t="s">
        <v>136</v>
      </c>
      <c r="D7" s="55" t="s">
        <v>137</v>
      </c>
      <c r="E7" s="56">
        <v>0.12</v>
      </c>
      <c r="F7" s="55" t="s">
        <v>149</v>
      </c>
    </row>
    <row r="8">
      <c r="A8" s="55" t="s">
        <v>150</v>
      </c>
      <c r="B8" s="55" t="s">
        <v>151</v>
      </c>
      <c r="C8" s="55" t="s">
        <v>136</v>
      </c>
      <c r="D8" s="55" t="s">
        <v>137</v>
      </c>
      <c r="E8" s="56">
        <v>0.18</v>
      </c>
      <c r="F8" s="55" t="s">
        <v>152</v>
      </c>
    </row>
    <row r="9">
      <c r="A9" s="55" t="s">
        <v>153</v>
      </c>
      <c r="B9" s="55" t="s">
        <v>151</v>
      </c>
      <c r="C9" s="55" t="s">
        <v>136</v>
      </c>
      <c r="D9" s="55" t="s">
        <v>137</v>
      </c>
      <c r="E9" s="56">
        <v>0.15</v>
      </c>
      <c r="F9" s="55" t="s">
        <v>154</v>
      </c>
    </row>
    <row r="10">
      <c r="A10" s="55" t="s">
        <v>155</v>
      </c>
      <c r="B10" s="55" t="s">
        <v>151</v>
      </c>
      <c r="C10" s="55" t="s">
        <v>136</v>
      </c>
      <c r="D10" s="55" t="s">
        <v>137</v>
      </c>
      <c r="E10" s="56">
        <v>0.15</v>
      </c>
      <c r="F10" s="55" t="s">
        <v>156</v>
      </c>
    </row>
    <row r="11">
      <c r="A11" s="57" t="s">
        <v>157</v>
      </c>
      <c r="B11" s="57" t="s">
        <v>151</v>
      </c>
      <c r="C11" s="57" t="s">
        <v>136</v>
      </c>
      <c r="D11" s="57" t="s">
        <v>137</v>
      </c>
      <c r="E11" s="56">
        <v>0.12</v>
      </c>
      <c r="F11" s="28" t="s">
        <v>158</v>
      </c>
    </row>
    <row r="13">
      <c r="A13" s="58" t="s">
        <v>38</v>
      </c>
    </row>
    <row r="14">
      <c r="A14" s="59" t="s">
        <v>159</v>
      </c>
      <c r="B14" s="15"/>
      <c r="C14" s="16"/>
    </row>
    <row r="15">
      <c r="A15" s="59" t="s">
        <v>160</v>
      </c>
      <c r="B15" s="15"/>
      <c r="C15" s="16"/>
    </row>
    <row r="16">
      <c r="A16" s="59" t="s">
        <v>161</v>
      </c>
      <c r="B16" s="15"/>
      <c r="C16" s="16"/>
    </row>
    <row r="17">
      <c r="A17" s="59" t="s">
        <v>162</v>
      </c>
      <c r="B17" s="15"/>
      <c r="C17" s="16"/>
    </row>
    <row r="18">
      <c r="A18" s="59" t="s">
        <v>163</v>
      </c>
      <c r="B18" s="15"/>
      <c r="C18" s="16"/>
    </row>
  </sheetData>
  <mergeCells count="5">
    <mergeCell ref="A14:C14"/>
    <mergeCell ref="A15:C15"/>
    <mergeCell ref="A16:C16"/>
    <mergeCell ref="A17:C17"/>
    <mergeCell ref="A18:C18"/>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31.38"/>
    <col customWidth="1" min="2" max="2" width="18.88"/>
    <col customWidth="1" min="3" max="4" width="43.88"/>
    <col customWidth="1" min="5" max="5" width="18.88"/>
    <col customWidth="1" min="6" max="6" width="43.88"/>
  </cols>
  <sheetData>
    <row r="1">
      <c r="A1" s="60" t="s">
        <v>164</v>
      </c>
      <c r="B1" s="60" t="s">
        <v>6</v>
      </c>
      <c r="C1" s="60" t="s">
        <v>165</v>
      </c>
      <c r="D1" s="60" t="s">
        <v>166</v>
      </c>
      <c r="E1" s="60" t="s">
        <v>167</v>
      </c>
      <c r="F1" s="60" t="s">
        <v>38</v>
      </c>
    </row>
    <row r="2">
      <c r="A2" s="61" t="s">
        <v>168</v>
      </c>
      <c r="B2" s="61" t="s">
        <v>169</v>
      </c>
      <c r="C2" s="61" t="s">
        <v>170</v>
      </c>
      <c r="D2" s="61" t="s">
        <v>171</v>
      </c>
      <c r="E2" s="61" t="s">
        <v>172</v>
      </c>
      <c r="F2" s="61" t="s">
        <v>173</v>
      </c>
    </row>
    <row r="3">
      <c r="A3" s="61" t="s">
        <v>174</v>
      </c>
      <c r="B3" s="61" t="s">
        <v>175</v>
      </c>
      <c r="C3" s="61" t="s">
        <v>176</v>
      </c>
      <c r="D3" s="61" t="s">
        <v>177</v>
      </c>
      <c r="E3" s="61" t="s">
        <v>178</v>
      </c>
      <c r="F3" s="61" t="s">
        <v>179</v>
      </c>
    </row>
    <row r="4">
      <c r="A4" s="61" t="s">
        <v>180</v>
      </c>
      <c r="B4" s="61" t="s">
        <v>181</v>
      </c>
      <c r="C4" s="61" t="s">
        <v>182</v>
      </c>
      <c r="D4" s="61" t="s">
        <v>183</v>
      </c>
      <c r="E4" s="61" t="s">
        <v>184</v>
      </c>
      <c r="F4" s="61" t="s">
        <v>185</v>
      </c>
    </row>
    <row r="5">
      <c r="A5" s="61" t="s">
        <v>186</v>
      </c>
      <c r="B5" s="61" t="s">
        <v>187</v>
      </c>
      <c r="C5" s="61" t="s">
        <v>188</v>
      </c>
      <c r="D5" s="61" t="s">
        <v>189</v>
      </c>
      <c r="E5" s="61" t="s">
        <v>190</v>
      </c>
      <c r="F5" s="61" t="s">
        <v>191</v>
      </c>
    </row>
    <row r="6">
      <c r="A6" s="61" t="s">
        <v>192</v>
      </c>
      <c r="B6" s="61" t="s">
        <v>193</v>
      </c>
      <c r="C6" s="61" t="s">
        <v>194</v>
      </c>
      <c r="D6" s="61" t="s">
        <v>195</v>
      </c>
      <c r="E6" s="61" t="s">
        <v>196</v>
      </c>
      <c r="F6" s="61" t="s">
        <v>197</v>
      </c>
    </row>
    <row r="7">
      <c r="A7" s="61" t="s">
        <v>198</v>
      </c>
      <c r="B7" s="61" t="s">
        <v>199</v>
      </c>
      <c r="C7" s="61" t="s">
        <v>200</v>
      </c>
      <c r="D7" s="61" t="s">
        <v>201</v>
      </c>
      <c r="E7" s="61" t="s">
        <v>202</v>
      </c>
      <c r="F7" s="61" t="s">
        <v>203</v>
      </c>
    </row>
    <row r="8">
      <c r="A8" s="61" t="s">
        <v>204</v>
      </c>
      <c r="B8" s="61" t="s">
        <v>205</v>
      </c>
      <c r="C8" s="61" t="s">
        <v>206</v>
      </c>
      <c r="D8" s="61" t="s">
        <v>207</v>
      </c>
      <c r="E8" s="61" t="s">
        <v>208</v>
      </c>
      <c r="F8" s="61" t="s">
        <v>209</v>
      </c>
    </row>
    <row r="10">
      <c r="A10" s="20" t="s">
        <v>38</v>
      </c>
    </row>
    <row r="11">
      <c r="A11" s="62" t="s">
        <v>210</v>
      </c>
      <c r="B11" s="15"/>
      <c r="C11" s="16"/>
      <c r="D11" s="63"/>
      <c r="E11" s="63"/>
      <c r="F11" s="63"/>
    </row>
    <row r="12">
      <c r="A12" s="62" t="s">
        <v>211</v>
      </c>
      <c r="B12" s="15"/>
      <c r="C12" s="16"/>
      <c r="D12" s="63"/>
      <c r="E12" s="63"/>
      <c r="F12" s="63"/>
    </row>
    <row r="13">
      <c r="A13" s="62" t="s">
        <v>212</v>
      </c>
      <c r="B13" s="15"/>
      <c r="C13" s="16"/>
      <c r="D13" s="63"/>
      <c r="E13" s="63"/>
      <c r="F13" s="63"/>
    </row>
    <row r="14">
      <c r="A14" s="62" t="s">
        <v>213</v>
      </c>
      <c r="B14" s="15"/>
      <c r="C14" s="16"/>
      <c r="D14" s="63"/>
      <c r="E14" s="63"/>
      <c r="F14" s="63"/>
    </row>
    <row r="15">
      <c r="A15" s="62" t="s">
        <v>214</v>
      </c>
      <c r="B15" s="15"/>
      <c r="C15" s="16"/>
      <c r="D15" s="63"/>
      <c r="E15" s="63"/>
      <c r="F15" s="63"/>
    </row>
  </sheetData>
  <mergeCells count="5">
    <mergeCell ref="A11:C11"/>
    <mergeCell ref="A12:C12"/>
    <mergeCell ref="A13:C13"/>
    <mergeCell ref="A14:C14"/>
    <mergeCell ref="A15:C15"/>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pageSetUpPr fitToPage="1"/>
  </sheetPr>
  <sheetViews>
    <sheetView workbookViewId="0"/>
  </sheetViews>
  <sheetFormatPr customHeight="1" defaultColWidth="12.63" defaultRowHeight="15.75"/>
  <cols>
    <col customWidth="1" min="1" max="1" width="28.0"/>
    <col customWidth="1" min="2" max="2" width="8.38"/>
    <col customWidth="1" min="3" max="3" width="35.88"/>
    <col customWidth="1" min="4" max="4" width="23.5"/>
    <col customWidth="1" min="5" max="5" width="9.38"/>
    <col customWidth="1" min="6" max="6" width="12.63"/>
    <col customWidth="1" min="7" max="7" width="50.5"/>
    <col customWidth="1" min="8" max="8" width="43.25"/>
  </cols>
  <sheetData>
    <row r="1">
      <c r="A1" s="64" t="s">
        <v>215</v>
      </c>
    </row>
    <row r="3">
      <c r="A3" s="65"/>
      <c r="B3" s="65"/>
      <c r="C3" s="65"/>
      <c r="D3" s="65"/>
      <c r="E3" s="65"/>
      <c r="F3" s="65"/>
      <c r="G3" s="66"/>
      <c r="H3" s="67"/>
    </row>
    <row r="4">
      <c r="A4" s="68" t="s">
        <v>216</v>
      </c>
      <c r="B4" s="69"/>
      <c r="C4" s="69"/>
      <c r="D4" s="69"/>
      <c r="E4" s="69"/>
      <c r="F4" s="70"/>
      <c r="G4" s="71"/>
      <c r="H4" s="72"/>
    </row>
    <row r="5">
      <c r="A5" s="68" t="s">
        <v>217</v>
      </c>
      <c r="B5" s="69"/>
      <c r="C5" s="69"/>
      <c r="D5" s="69"/>
      <c r="E5" s="69"/>
      <c r="F5" s="70"/>
      <c r="G5" s="71"/>
      <c r="H5" s="72"/>
    </row>
    <row r="6">
      <c r="A6" s="69"/>
      <c r="B6" s="69"/>
      <c r="C6" s="69"/>
      <c r="D6" s="69"/>
      <c r="E6" s="69"/>
      <c r="F6" s="70"/>
      <c r="G6" s="71"/>
      <c r="H6" s="72"/>
    </row>
    <row r="7">
      <c r="A7" s="69"/>
      <c r="B7" s="69"/>
      <c r="C7" s="69"/>
      <c r="D7" s="69"/>
      <c r="E7" s="69"/>
      <c r="F7" s="70"/>
      <c r="G7" s="71"/>
      <c r="H7" s="72"/>
    </row>
    <row r="8">
      <c r="A8" s="69"/>
      <c r="B8" s="69"/>
      <c r="C8" s="69"/>
      <c r="D8" s="69"/>
      <c r="E8" s="69"/>
      <c r="F8" s="70"/>
      <c r="G8" s="71"/>
      <c r="H8" s="72"/>
    </row>
    <row r="9">
      <c r="A9" s="69"/>
      <c r="B9" s="69"/>
      <c r="C9" s="69"/>
      <c r="D9" s="69"/>
      <c r="E9" s="69"/>
      <c r="F9" s="70"/>
      <c r="G9" s="71"/>
      <c r="H9" s="72"/>
    </row>
    <row r="10">
      <c r="A10" s="69"/>
      <c r="B10" s="69"/>
      <c r="C10" s="69"/>
      <c r="D10" s="69"/>
      <c r="E10" s="69"/>
      <c r="F10" s="70"/>
      <c r="G10" s="71"/>
      <c r="H10" s="72"/>
    </row>
    <row r="11">
      <c r="A11" s="69"/>
      <c r="B11" s="69"/>
      <c r="C11" s="69"/>
      <c r="D11" s="69"/>
      <c r="E11" s="69"/>
      <c r="F11" s="70"/>
      <c r="G11" s="71"/>
      <c r="H11" s="72"/>
    </row>
    <row r="12">
      <c r="A12" s="69"/>
      <c r="B12" s="69"/>
      <c r="C12" s="69"/>
      <c r="D12" s="69"/>
      <c r="E12" s="69"/>
      <c r="F12" s="70"/>
      <c r="G12" s="71"/>
      <c r="H12" s="72"/>
    </row>
    <row r="13">
      <c r="B13" s="69"/>
      <c r="C13" s="69"/>
      <c r="D13" s="69"/>
      <c r="E13" s="69"/>
      <c r="F13" s="69"/>
      <c r="G13" s="71"/>
      <c r="H13" s="73"/>
      <c r="I13" s="71"/>
      <c r="J13" s="74"/>
    </row>
    <row r="14">
      <c r="B14" s="69"/>
      <c r="C14" s="69"/>
      <c r="D14" s="69"/>
      <c r="E14" s="69"/>
      <c r="F14" s="69"/>
      <c r="G14" s="71"/>
      <c r="H14" s="73"/>
      <c r="I14" s="71"/>
      <c r="J14" s="74"/>
    </row>
    <row r="15">
      <c r="B15" s="69"/>
      <c r="C15" s="69"/>
      <c r="D15" s="69"/>
      <c r="E15" s="69"/>
      <c r="F15" s="69"/>
      <c r="G15" s="71"/>
      <c r="H15" s="73"/>
      <c r="I15" s="71"/>
      <c r="J15" s="74"/>
    </row>
    <row r="16">
      <c r="B16" s="69"/>
      <c r="C16" s="69"/>
      <c r="D16" s="69"/>
      <c r="E16" s="69"/>
      <c r="F16" s="69"/>
      <c r="G16" s="71"/>
      <c r="H16" s="73"/>
      <c r="I16" s="71"/>
      <c r="J16" s="74"/>
    </row>
    <row r="17">
      <c r="B17" s="69"/>
      <c r="C17" s="69"/>
      <c r="D17" s="69"/>
      <c r="E17" s="69"/>
      <c r="F17" s="69"/>
      <c r="G17" s="71"/>
      <c r="H17" s="73"/>
      <c r="I17" s="71"/>
      <c r="J17" s="74"/>
    </row>
    <row r="18">
      <c r="B18" s="68"/>
      <c r="C18" s="68"/>
      <c r="D18" s="68"/>
      <c r="E18" s="68"/>
      <c r="F18" s="68"/>
      <c r="G18" s="75"/>
      <c r="H18" s="76"/>
      <c r="I18" s="71"/>
      <c r="J18" s="74"/>
    </row>
    <row r="19">
      <c r="B19" s="68"/>
      <c r="C19" s="68"/>
      <c r="D19" s="68"/>
      <c r="E19" s="68"/>
      <c r="F19" s="68"/>
      <c r="G19" s="75"/>
      <c r="H19" s="76"/>
      <c r="I19" s="71"/>
      <c r="J19" s="74"/>
    </row>
    <row r="20">
      <c r="B20" s="68"/>
      <c r="C20" s="68"/>
      <c r="D20" s="68"/>
      <c r="E20" s="68"/>
      <c r="F20" s="68"/>
      <c r="G20" s="75"/>
      <c r="H20" s="73"/>
      <c r="I20" s="71"/>
      <c r="J20" s="74"/>
    </row>
    <row r="21">
      <c r="B21" s="69"/>
      <c r="C21" s="69"/>
      <c r="D21" s="69"/>
      <c r="E21" s="69"/>
      <c r="F21" s="69"/>
      <c r="G21" s="71"/>
      <c r="H21" s="73"/>
      <c r="I21" s="71"/>
      <c r="J21" s="74"/>
    </row>
    <row r="22">
      <c r="B22" s="69"/>
      <c r="C22" s="69"/>
      <c r="D22" s="69"/>
      <c r="E22" s="69"/>
      <c r="F22" s="69"/>
      <c r="G22" s="71"/>
      <c r="H22" s="73"/>
      <c r="I22" s="71"/>
      <c r="J22" s="74"/>
    </row>
    <row r="23">
      <c r="B23" s="69"/>
      <c r="C23" s="69"/>
      <c r="D23" s="69"/>
      <c r="E23" s="69"/>
      <c r="F23" s="69"/>
      <c r="G23" s="71"/>
      <c r="H23" s="73"/>
      <c r="I23" s="71"/>
      <c r="J23" s="74"/>
    </row>
    <row r="24">
      <c r="B24" s="69"/>
      <c r="C24" s="69"/>
      <c r="D24" s="69"/>
      <c r="E24" s="69"/>
      <c r="F24" s="69"/>
      <c r="G24" s="71"/>
      <c r="H24" s="73"/>
      <c r="I24" s="71"/>
      <c r="J24" s="74"/>
    </row>
    <row r="25">
      <c r="B25" s="69"/>
      <c r="C25" s="69"/>
      <c r="D25" s="69"/>
      <c r="E25" s="69"/>
      <c r="F25" s="69"/>
      <c r="G25" s="71"/>
      <c r="H25" s="73"/>
      <c r="I25" s="71"/>
      <c r="J25" s="74"/>
    </row>
    <row r="26">
      <c r="B26" s="69"/>
      <c r="C26" s="69"/>
      <c r="D26" s="69"/>
      <c r="E26" s="69"/>
      <c r="F26" s="69"/>
      <c r="G26" s="71"/>
      <c r="H26" s="73"/>
      <c r="I26" s="71"/>
      <c r="J26" s="74"/>
    </row>
    <row r="27">
      <c r="B27" s="69"/>
      <c r="C27" s="69"/>
      <c r="D27" s="69"/>
      <c r="E27" s="69"/>
      <c r="F27" s="69"/>
      <c r="G27" s="71"/>
      <c r="H27" s="73"/>
      <c r="I27" s="71"/>
      <c r="J27" s="74"/>
    </row>
    <row r="28">
      <c r="B28" s="69"/>
      <c r="C28" s="69"/>
      <c r="D28" s="69"/>
      <c r="E28" s="69"/>
      <c r="F28" s="69"/>
      <c r="G28" s="71"/>
      <c r="H28" s="73"/>
      <c r="I28" s="71"/>
      <c r="J28" s="74"/>
    </row>
    <row r="29">
      <c r="B29" s="69"/>
      <c r="C29" s="69"/>
      <c r="D29" s="69"/>
      <c r="E29" s="69"/>
      <c r="F29" s="69"/>
      <c r="G29" s="71"/>
      <c r="H29" s="73"/>
      <c r="I29" s="71"/>
      <c r="J29" s="74"/>
    </row>
    <row r="30">
      <c r="B30" s="69"/>
      <c r="C30" s="69"/>
      <c r="D30" s="69"/>
      <c r="E30" s="69"/>
      <c r="F30" s="69"/>
      <c r="G30" s="71"/>
      <c r="H30" s="73"/>
      <c r="I30" s="71"/>
      <c r="J30" s="74"/>
    </row>
    <row r="31">
      <c r="B31" s="69"/>
      <c r="C31" s="69"/>
      <c r="D31" s="69"/>
      <c r="E31" s="69"/>
      <c r="F31" s="69"/>
      <c r="G31" s="71"/>
      <c r="H31" s="73"/>
      <c r="I31" s="71"/>
      <c r="J31" s="74"/>
    </row>
    <row r="32">
      <c r="B32" s="69"/>
      <c r="C32" s="69"/>
      <c r="D32" s="69"/>
      <c r="E32" s="69"/>
      <c r="F32" s="69"/>
      <c r="G32" s="71"/>
      <c r="H32" s="73"/>
      <c r="I32" s="71"/>
      <c r="J32" s="74"/>
    </row>
    <row r="33">
      <c r="B33" s="69"/>
      <c r="C33" s="69"/>
      <c r="D33" s="69"/>
      <c r="E33" s="69"/>
      <c r="F33" s="69"/>
      <c r="G33" s="71"/>
      <c r="H33" s="73"/>
      <c r="I33" s="71"/>
      <c r="J33" s="74"/>
    </row>
    <row r="34">
      <c r="B34" s="69"/>
      <c r="C34" s="69"/>
      <c r="D34" s="69"/>
      <c r="E34" s="69"/>
      <c r="F34" s="69"/>
      <c r="G34" s="71"/>
      <c r="H34" s="73"/>
      <c r="I34" s="71"/>
      <c r="J34" s="74"/>
    </row>
    <row r="35">
      <c r="B35" s="69"/>
      <c r="C35" s="69"/>
      <c r="D35" s="69"/>
      <c r="E35" s="69"/>
      <c r="F35" s="69"/>
      <c r="G35" s="71"/>
      <c r="H35" s="73"/>
      <c r="I35" s="71"/>
      <c r="J35" s="74"/>
    </row>
    <row r="36">
      <c r="B36" s="69"/>
      <c r="C36" s="69"/>
      <c r="D36" s="69"/>
      <c r="E36" s="69"/>
      <c r="F36" s="69"/>
      <c r="G36" s="71"/>
      <c r="H36" s="73"/>
      <c r="I36" s="71"/>
      <c r="J36" s="74"/>
    </row>
    <row r="37">
      <c r="B37" s="69"/>
      <c r="C37" s="69"/>
      <c r="D37" s="69"/>
      <c r="E37" s="69"/>
      <c r="F37" s="69"/>
      <c r="G37" s="71"/>
      <c r="H37" s="73"/>
      <c r="I37" s="71"/>
      <c r="J37" s="74"/>
    </row>
    <row r="38">
      <c r="B38" s="69"/>
      <c r="C38" s="69"/>
      <c r="D38" s="69"/>
      <c r="E38" s="69"/>
      <c r="F38" s="69"/>
      <c r="G38" s="71"/>
      <c r="H38" s="73"/>
      <c r="I38" s="71"/>
      <c r="J38" s="74"/>
    </row>
    <row r="39">
      <c r="B39" s="69"/>
      <c r="C39" s="69"/>
      <c r="D39" s="69"/>
      <c r="E39" s="69"/>
      <c r="F39" s="69"/>
      <c r="G39" s="71"/>
      <c r="H39" s="73"/>
      <c r="I39" s="71"/>
      <c r="J39" s="74"/>
    </row>
    <row r="40">
      <c r="B40" s="69"/>
      <c r="C40" s="69"/>
      <c r="D40" s="69"/>
      <c r="E40" s="69"/>
      <c r="F40" s="69"/>
      <c r="G40" s="71"/>
      <c r="H40" s="73"/>
      <c r="I40" s="71"/>
      <c r="J40" s="74"/>
    </row>
    <row r="41">
      <c r="B41" s="69"/>
      <c r="C41" s="69"/>
      <c r="D41" s="69"/>
      <c r="E41" s="69"/>
      <c r="F41" s="69"/>
      <c r="G41" s="71"/>
      <c r="H41" s="73"/>
      <c r="I41" s="71"/>
      <c r="J41" s="74"/>
    </row>
    <row r="42">
      <c r="B42" s="69"/>
      <c r="C42" s="69"/>
      <c r="D42" s="69"/>
      <c r="E42" s="69"/>
      <c r="F42" s="69"/>
      <c r="G42" s="71"/>
      <c r="H42" s="73"/>
      <c r="I42" s="71"/>
      <c r="J42" s="74"/>
    </row>
    <row r="43">
      <c r="B43" s="69"/>
      <c r="C43" s="69"/>
      <c r="D43" s="69"/>
      <c r="E43" s="69"/>
      <c r="F43" s="69"/>
      <c r="G43" s="71"/>
      <c r="H43" s="73"/>
      <c r="I43" s="71"/>
      <c r="J43" s="74"/>
    </row>
    <row r="44">
      <c r="B44" s="69"/>
      <c r="C44" s="69"/>
      <c r="D44" s="69"/>
      <c r="E44" s="69"/>
      <c r="F44" s="69"/>
      <c r="G44" s="71"/>
      <c r="H44" s="73"/>
      <c r="I44" s="71"/>
      <c r="J44" s="74"/>
    </row>
    <row r="45">
      <c r="B45" s="69"/>
      <c r="C45" s="69"/>
      <c r="D45" s="69"/>
      <c r="E45" s="69"/>
      <c r="F45" s="69"/>
      <c r="G45" s="71"/>
      <c r="H45" s="73"/>
      <c r="I45" s="71"/>
      <c r="J45" s="74"/>
    </row>
    <row r="46">
      <c r="B46" s="69"/>
      <c r="C46" s="69"/>
      <c r="D46" s="69"/>
      <c r="E46" s="69"/>
      <c r="F46" s="69"/>
      <c r="G46" s="71"/>
      <c r="H46" s="73"/>
      <c r="I46" s="71"/>
      <c r="J46" s="74"/>
    </row>
    <row r="47">
      <c r="B47" s="69"/>
      <c r="C47" s="69"/>
      <c r="D47" s="69"/>
      <c r="E47" s="69"/>
      <c r="F47" s="69"/>
      <c r="G47" s="71"/>
      <c r="H47" s="73"/>
      <c r="I47" s="71"/>
      <c r="J47" s="74"/>
    </row>
    <row r="48">
      <c r="B48" s="69"/>
      <c r="C48" s="69"/>
      <c r="D48" s="69"/>
      <c r="E48" s="69"/>
      <c r="F48" s="69"/>
      <c r="G48" s="71"/>
      <c r="H48" s="73"/>
      <c r="I48" s="71"/>
      <c r="J48" s="74"/>
    </row>
    <row r="49">
      <c r="B49" s="69"/>
      <c r="C49" s="69"/>
      <c r="D49" s="69"/>
      <c r="E49" s="69"/>
      <c r="F49" s="69"/>
      <c r="G49" s="71"/>
      <c r="H49" s="73"/>
      <c r="I49" s="71"/>
      <c r="J49" s="74"/>
    </row>
    <row r="50">
      <c r="B50" s="69"/>
      <c r="C50" s="69"/>
      <c r="D50" s="69"/>
      <c r="E50" s="69"/>
      <c r="F50" s="69"/>
      <c r="G50" s="71"/>
      <c r="H50" s="73"/>
      <c r="I50" s="71"/>
      <c r="J50" s="74"/>
    </row>
    <row r="51">
      <c r="B51" s="69"/>
      <c r="C51" s="69"/>
      <c r="D51" s="69"/>
      <c r="E51" s="69"/>
      <c r="F51" s="69"/>
      <c r="G51" s="71"/>
      <c r="H51" s="73"/>
      <c r="I51" s="71"/>
      <c r="J51" s="74"/>
    </row>
    <row r="52">
      <c r="B52" s="69"/>
      <c r="C52" s="69"/>
      <c r="D52" s="69"/>
      <c r="E52" s="69"/>
      <c r="F52" s="69"/>
      <c r="G52" s="71"/>
      <c r="H52" s="73"/>
      <c r="I52" s="71"/>
      <c r="J52" s="74"/>
    </row>
    <row r="53">
      <c r="B53" s="69"/>
      <c r="C53" s="69"/>
      <c r="D53" s="69"/>
      <c r="E53" s="69"/>
      <c r="F53" s="69"/>
      <c r="G53" s="71"/>
      <c r="H53" s="73"/>
      <c r="I53" s="71"/>
      <c r="J53" s="74"/>
    </row>
    <row r="54">
      <c r="B54" s="69"/>
      <c r="C54" s="69"/>
      <c r="D54" s="69"/>
      <c r="E54" s="69"/>
      <c r="F54" s="69"/>
      <c r="G54" s="71"/>
      <c r="H54" s="73"/>
      <c r="I54" s="71"/>
      <c r="J54" s="74"/>
    </row>
    <row r="55">
      <c r="B55" s="69"/>
      <c r="C55" s="69"/>
      <c r="D55" s="69"/>
      <c r="E55" s="69"/>
      <c r="F55" s="69"/>
      <c r="G55" s="71"/>
      <c r="H55" s="73"/>
      <c r="I55" s="71"/>
      <c r="J55" s="74"/>
    </row>
    <row r="56">
      <c r="B56" s="69"/>
      <c r="C56" s="69"/>
      <c r="D56" s="69"/>
      <c r="E56" s="69"/>
      <c r="F56" s="69"/>
      <c r="G56" s="71"/>
      <c r="H56" s="73"/>
      <c r="I56" s="71"/>
      <c r="J56" s="74"/>
    </row>
    <row r="57">
      <c r="B57" s="69"/>
      <c r="C57" s="69"/>
      <c r="D57" s="69"/>
      <c r="E57" s="69"/>
      <c r="F57" s="69"/>
      <c r="G57" s="71"/>
      <c r="H57" s="73"/>
      <c r="I57" s="71"/>
      <c r="J57" s="74"/>
    </row>
    <row r="58">
      <c r="B58" s="69"/>
      <c r="C58" s="69"/>
      <c r="D58" s="69"/>
      <c r="E58" s="69"/>
      <c r="F58" s="69"/>
      <c r="G58" s="71"/>
      <c r="H58" s="73"/>
      <c r="I58" s="71"/>
      <c r="J58" s="74"/>
    </row>
    <row r="59">
      <c r="B59" s="69"/>
      <c r="C59" s="69"/>
      <c r="D59" s="69"/>
      <c r="E59" s="69"/>
      <c r="F59" s="69"/>
      <c r="G59" s="71"/>
      <c r="H59" s="73"/>
      <c r="I59" s="71"/>
      <c r="J59" s="74"/>
    </row>
    <row r="60">
      <c r="B60" s="69"/>
      <c r="C60" s="69"/>
      <c r="D60" s="69"/>
      <c r="E60" s="69"/>
      <c r="F60" s="69"/>
      <c r="G60" s="71"/>
      <c r="H60" s="73"/>
      <c r="I60" s="71"/>
      <c r="J60" s="74"/>
    </row>
    <row r="61">
      <c r="B61" s="69"/>
      <c r="C61" s="69"/>
      <c r="D61" s="69"/>
      <c r="E61" s="69"/>
      <c r="F61" s="69"/>
      <c r="G61" s="71"/>
      <c r="H61" s="73"/>
      <c r="I61" s="71"/>
      <c r="J61" s="74"/>
    </row>
    <row r="62">
      <c r="B62" s="69"/>
      <c r="C62" s="69"/>
      <c r="D62" s="69"/>
      <c r="E62" s="69"/>
      <c r="F62" s="69"/>
      <c r="G62" s="71"/>
      <c r="H62" s="73"/>
      <c r="I62" s="71"/>
      <c r="J62" s="74"/>
    </row>
    <row r="63">
      <c r="B63" s="69"/>
      <c r="C63" s="69"/>
      <c r="D63" s="69"/>
      <c r="E63" s="69"/>
      <c r="F63" s="69"/>
      <c r="G63" s="71"/>
      <c r="H63" s="73"/>
      <c r="I63" s="71"/>
      <c r="J63" s="74"/>
    </row>
    <row r="64">
      <c r="B64" s="69"/>
      <c r="C64" s="69"/>
      <c r="D64" s="69"/>
      <c r="E64" s="69"/>
      <c r="F64" s="69"/>
      <c r="G64" s="71"/>
      <c r="H64" s="73"/>
      <c r="I64" s="71"/>
      <c r="J64" s="74"/>
    </row>
    <row r="65">
      <c r="B65" s="69"/>
      <c r="C65" s="69"/>
      <c r="D65" s="69"/>
      <c r="E65" s="69"/>
      <c r="F65" s="69"/>
      <c r="G65" s="71"/>
      <c r="H65" s="73"/>
      <c r="I65" s="71"/>
      <c r="J65" s="74"/>
    </row>
    <row r="66">
      <c r="B66" s="69"/>
      <c r="C66" s="69"/>
      <c r="D66" s="69"/>
      <c r="E66" s="69"/>
      <c r="F66" s="69"/>
      <c r="G66" s="71"/>
      <c r="H66" s="73"/>
      <c r="I66" s="71"/>
      <c r="J66" s="74"/>
    </row>
    <row r="67">
      <c r="B67" s="69"/>
      <c r="C67" s="69"/>
      <c r="D67" s="69"/>
      <c r="E67" s="69"/>
      <c r="F67" s="69"/>
      <c r="G67" s="71"/>
      <c r="H67" s="73"/>
      <c r="I67" s="71"/>
      <c r="J67" s="74"/>
    </row>
    <row r="68">
      <c r="B68" s="69"/>
      <c r="C68" s="69"/>
      <c r="D68" s="69"/>
      <c r="E68" s="69"/>
      <c r="F68" s="69"/>
      <c r="G68" s="71"/>
      <c r="H68" s="73"/>
      <c r="I68" s="71"/>
      <c r="J68" s="74"/>
    </row>
    <row r="69">
      <c r="B69" s="69"/>
      <c r="C69" s="69"/>
      <c r="D69" s="69"/>
      <c r="E69" s="69"/>
      <c r="F69" s="69"/>
      <c r="G69" s="71"/>
      <c r="H69" s="73"/>
      <c r="I69" s="71"/>
      <c r="J69" s="74"/>
    </row>
    <row r="70">
      <c r="B70" s="69"/>
      <c r="C70" s="69"/>
      <c r="D70" s="69"/>
      <c r="E70" s="69"/>
      <c r="F70" s="69"/>
      <c r="G70" s="71"/>
      <c r="H70" s="73"/>
      <c r="I70" s="71"/>
      <c r="J70" s="74"/>
    </row>
    <row r="71">
      <c r="B71" s="69"/>
      <c r="C71" s="69"/>
      <c r="D71" s="69"/>
      <c r="E71" s="69"/>
      <c r="F71" s="69"/>
      <c r="G71" s="71"/>
      <c r="H71" s="73"/>
      <c r="I71" s="71"/>
      <c r="J71" s="74"/>
    </row>
    <row r="72">
      <c r="B72" s="69"/>
      <c r="C72" s="69"/>
      <c r="D72" s="69"/>
      <c r="E72" s="69"/>
      <c r="F72" s="69"/>
      <c r="G72" s="71"/>
      <c r="H72" s="73"/>
      <c r="I72" s="71"/>
      <c r="J72" s="74"/>
    </row>
    <row r="73">
      <c r="B73" s="69"/>
      <c r="C73" s="69"/>
      <c r="D73" s="69"/>
      <c r="E73" s="69"/>
      <c r="F73" s="69"/>
      <c r="G73" s="71"/>
      <c r="H73" s="73"/>
      <c r="I73" s="71"/>
      <c r="J73" s="74"/>
    </row>
    <row r="74">
      <c r="B74" s="69"/>
      <c r="C74" s="69"/>
      <c r="D74" s="69"/>
      <c r="E74" s="69"/>
      <c r="F74" s="69"/>
      <c r="G74" s="71"/>
      <c r="H74" s="73"/>
      <c r="I74" s="71"/>
      <c r="J74" s="74"/>
    </row>
    <row r="75">
      <c r="B75" s="69"/>
      <c r="C75" s="69"/>
      <c r="D75" s="69"/>
      <c r="E75" s="69"/>
      <c r="F75" s="69"/>
      <c r="G75" s="71"/>
      <c r="H75" s="73"/>
      <c r="I75" s="71"/>
      <c r="J75" s="74"/>
    </row>
    <row r="76">
      <c r="B76" s="69"/>
      <c r="C76" s="69"/>
      <c r="D76" s="69"/>
      <c r="E76" s="69"/>
      <c r="F76" s="69"/>
      <c r="G76" s="71"/>
      <c r="H76" s="73"/>
      <c r="I76" s="71"/>
      <c r="J76" s="74"/>
    </row>
    <row r="77">
      <c r="B77" s="69"/>
      <c r="C77" s="69"/>
      <c r="D77" s="69"/>
      <c r="E77" s="69"/>
      <c r="F77" s="69"/>
      <c r="G77" s="71"/>
      <c r="H77" s="73"/>
      <c r="I77" s="71"/>
      <c r="J77" s="74"/>
    </row>
    <row r="78">
      <c r="B78" s="69"/>
      <c r="C78" s="69"/>
      <c r="D78" s="69"/>
      <c r="E78" s="69"/>
      <c r="F78" s="69"/>
      <c r="G78" s="71"/>
      <c r="H78" s="73"/>
      <c r="I78" s="71"/>
      <c r="J78" s="74"/>
    </row>
    <row r="79">
      <c r="B79" s="69"/>
      <c r="C79" s="69"/>
      <c r="D79" s="69"/>
      <c r="E79" s="69"/>
      <c r="F79" s="69"/>
      <c r="G79" s="71"/>
      <c r="H79" s="76"/>
      <c r="I79" s="71"/>
      <c r="J79" s="74"/>
    </row>
    <row r="80">
      <c r="B80" s="69"/>
      <c r="C80" s="69"/>
      <c r="D80" s="69"/>
      <c r="E80" s="69"/>
      <c r="F80" s="69"/>
      <c r="G80" s="71"/>
      <c r="H80" s="76"/>
      <c r="I80" s="71"/>
      <c r="J80" s="74"/>
    </row>
    <row r="81">
      <c r="B81" s="69"/>
      <c r="C81" s="69"/>
      <c r="D81" s="69"/>
      <c r="E81" s="69"/>
      <c r="F81" s="69"/>
      <c r="G81" s="71"/>
      <c r="H81" s="76"/>
      <c r="I81" s="71"/>
      <c r="J81" s="74"/>
    </row>
    <row r="82">
      <c r="B82" s="69"/>
      <c r="C82" s="69"/>
      <c r="D82" s="69"/>
      <c r="E82" s="69"/>
      <c r="F82" s="69"/>
      <c r="G82" s="71"/>
      <c r="H82" s="76"/>
      <c r="I82" s="71"/>
      <c r="J82" s="74"/>
    </row>
    <row r="83">
      <c r="B83" s="69"/>
      <c r="C83" s="69"/>
      <c r="D83" s="69"/>
      <c r="E83" s="69"/>
      <c r="F83" s="69"/>
      <c r="G83" s="71"/>
      <c r="H83" s="76"/>
      <c r="I83" s="71"/>
      <c r="J83" s="74"/>
    </row>
    <row r="84">
      <c r="B84" s="69"/>
      <c r="C84" s="69"/>
      <c r="D84" s="69"/>
      <c r="E84" s="69"/>
      <c r="F84" s="69"/>
      <c r="G84" s="71"/>
      <c r="H84" s="76"/>
      <c r="I84" s="71"/>
      <c r="J84" s="74"/>
    </row>
    <row r="85">
      <c r="B85" s="69"/>
      <c r="C85" s="69"/>
      <c r="D85" s="69"/>
      <c r="E85" s="69"/>
      <c r="F85" s="69"/>
      <c r="G85" s="71"/>
      <c r="H85" s="76"/>
      <c r="I85" s="71"/>
      <c r="J85" s="74"/>
    </row>
    <row r="86">
      <c r="B86" s="69"/>
      <c r="C86" s="69"/>
      <c r="D86" s="69"/>
      <c r="E86" s="69"/>
      <c r="F86" s="69"/>
      <c r="G86" s="71"/>
      <c r="H86" s="76"/>
      <c r="I86" s="71"/>
      <c r="J86" s="74"/>
    </row>
    <row r="87">
      <c r="B87" s="69"/>
      <c r="C87" s="69"/>
      <c r="D87" s="69"/>
      <c r="E87" s="69"/>
      <c r="F87" s="69"/>
      <c r="G87" s="71"/>
      <c r="H87" s="76"/>
      <c r="I87" s="71"/>
      <c r="J87" s="74"/>
    </row>
    <row r="88">
      <c r="B88" s="69"/>
      <c r="C88" s="69"/>
      <c r="D88" s="69"/>
      <c r="E88" s="69"/>
      <c r="F88" s="69"/>
      <c r="G88" s="71"/>
      <c r="H88" s="76"/>
      <c r="I88" s="71"/>
      <c r="J88" s="74"/>
    </row>
    <row r="89">
      <c r="B89" s="69"/>
      <c r="C89" s="69"/>
      <c r="D89" s="69"/>
      <c r="E89" s="69"/>
      <c r="F89" s="69"/>
      <c r="G89" s="71"/>
      <c r="H89" s="76"/>
      <c r="I89" s="71"/>
      <c r="J89" s="74"/>
    </row>
    <row r="90">
      <c r="B90" s="69"/>
      <c r="C90" s="69"/>
      <c r="D90" s="69"/>
      <c r="E90" s="69"/>
      <c r="F90" s="69"/>
      <c r="G90" s="71"/>
      <c r="H90" s="76"/>
      <c r="I90" s="71"/>
      <c r="J90" s="74"/>
    </row>
    <row r="91">
      <c r="B91" s="69"/>
      <c r="C91" s="69"/>
      <c r="D91" s="69"/>
      <c r="E91" s="69"/>
      <c r="F91" s="69"/>
      <c r="G91" s="71"/>
      <c r="H91" s="76"/>
      <c r="I91" s="71"/>
      <c r="J91" s="74"/>
    </row>
    <row r="92">
      <c r="B92" s="69"/>
      <c r="C92" s="69"/>
      <c r="D92" s="69"/>
      <c r="E92" s="69"/>
      <c r="F92" s="69"/>
      <c r="G92" s="71"/>
      <c r="H92" s="76"/>
      <c r="I92" s="71"/>
      <c r="J92" s="74"/>
    </row>
    <row r="93">
      <c r="B93" s="69"/>
      <c r="C93" s="69"/>
      <c r="D93" s="69"/>
      <c r="E93" s="69"/>
      <c r="F93" s="69"/>
      <c r="G93" s="71"/>
      <c r="H93" s="76"/>
      <c r="I93" s="71"/>
      <c r="J93" s="74"/>
    </row>
    <row r="94">
      <c r="B94" s="69"/>
      <c r="C94" s="69"/>
      <c r="D94" s="69"/>
      <c r="E94" s="69"/>
      <c r="F94" s="69"/>
      <c r="G94" s="71"/>
      <c r="H94" s="76"/>
      <c r="I94" s="71"/>
      <c r="J94" s="74"/>
    </row>
    <row r="95">
      <c r="B95" s="69"/>
      <c r="C95" s="69"/>
      <c r="D95" s="69"/>
      <c r="E95" s="69"/>
      <c r="F95" s="69"/>
      <c r="G95" s="71"/>
      <c r="H95" s="76"/>
      <c r="I95" s="71"/>
      <c r="J95" s="74"/>
    </row>
    <row r="96">
      <c r="B96" s="69"/>
      <c r="C96" s="69"/>
      <c r="D96" s="69"/>
      <c r="E96" s="69"/>
      <c r="F96" s="69"/>
      <c r="G96" s="71"/>
      <c r="H96" s="76"/>
      <c r="I96" s="71"/>
      <c r="J96" s="74"/>
    </row>
    <row r="97">
      <c r="B97" s="69"/>
      <c r="C97" s="69"/>
      <c r="D97" s="69"/>
      <c r="E97" s="69"/>
      <c r="F97" s="69"/>
      <c r="G97" s="71"/>
      <c r="H97" s="76"/>
      <c r="I97" s="71"/>
      <c r="J97" s="74"/>
    </row>
    <row r="98">
      <c r="B98" s="69"/>
      <c r="C98" s="69"/>
      <c r="D98" s="69"/>
      <c r="E98" s="69"/>
      <c r="F98" s="69"/>
      <c r="G98" s="71"/>
      <c r="H98" s="76"/>
      <c r="I98" s="71"/>
      <c r="J98" s="74"/>
    </row>
    <row r="99">
      <c r="B99" s="69"/>
      <c r="C99" s="69"/>
      <c r="D99" s="69"/>
      <c r="E99" s="69"/>
      <c r="F99" s="69"/>
      <c r="G99" s="71"/>
      <c r="H99" s="76"/>
      <c r="I99" s="71"/>
      <c r="J99" s="74"/>
    </row>
    <row r="100">
      <c r="B100" s="69"/>
      <c r="C100" s="69"/>
      <c r="D100" s="69"/>
      <c r="E100" s="69"/>
      <c r="F100" s="69"/>
      <c r="G100" s="71"/>
      <c r="H100" s="76"/>
      <c r="I100" s="71"/>
      <c r="J100" s="74"/>
    </row>
    <row r="101">
      <c r="B101" s="69"/>
      <c r="C101" s="69"/>
      <c r="D101" s="69"/>
      <c r="E101" s="69"/>
      <c r="F101" s="69"/>
      <c r="G101" s="71"/>
      <c r="H101" s="76"/>
      <c r="I101" s="71"/>
      <c r="J101" s="74"/>
    </row>
    <row r="102">
      <c r="B102" s="69"/>
      <c r="C102" s="69"/>
      <c r="D102" s="69"/>
      <c r="E102" s="69"/>
      <c r="F102" s="69"/>
      <c r="G102" s="71"/>
      <c r="H102" s="76"/>
      <c r="I102" s="71"/>
      <c r="J102" s="74"/>
    </row>
    <row r="103">
      <c r="B103" s="69"/>
      <c r="C103" s="69"/>
      <c r="D103" s="69"/>
      <c r="E103" s="69"/>
      <c r="F103" s="69"/>
      <c r="G103" s="71"/>
      <c r="H103" s="76"/>
      <c r="I103" s="71"/>
      <c r="J103" s="74"/>
    </row>
    <row r="104">
      <c r="B104" s="69"/>
      <c r="C104" s="69"/>
      <c r="D104" s="69"/>
      <c r="E104" s="69"/>
      <c r="F104" s="69"/>
      <c r="G104" s="71"/>
      <c r="H104" s="76"/>
      <c r="I104" s="71"/>
      <c r="J104" s="74"/>
    </row>
    <row r="105">
      <c r="B105" s="69"/>
      <c r="C105" s="69"/>
      <c r="D105" s="69"/>
      <c r="E105" s="69"/>
      <c r="F105" s="69"/>
      <c r="G105" s="71"/>
      <c r="H105" s="76"/>
      <c r="I105" s="71"/>
      <c r="J105" s="74"/>
    </row>
    <row r="106">
      <c r="B106" s="69"/>
      <c r="C106" s="69"/>
      <c r="D106" s="69"/>
      <c r="E106" s="69"/>
      <c r="F106" s="69"/>
      <c r="G106" s="71"/>
      <c r="H106" s="76"/>
      <c r="I106" s="71"/>
      <c r="J106" s="74"/>
    </row>
    <row r="107">
      <c r="B107" s="69"/>
      <c r="C107" s="69"/>
      <c r="D107" s="69"/>
      <c r="E107" s="69"/>
      <c r="F107" s="69"/>
      <c r="G107" s="71"/>
      <c r="H107" s="76"/>
      <c r="I107" s="71"/>
      <c r="J107" s="74"/>
    </row>
    <row r="108">
      <c r="B108" s="69"/>
      <c r="C108" s="69"/>
      <c r="D108" s="69"/>
      <c r="E108" s="69"/>
      <c r="F108" s="69"/>
      <c r="G108" s="71"/>
      <c r="H108" s="76"/>
      <c r="I108" s="71"/>
      <c r="J108" s="74"/>
    </row>
    <row r="109">
      <c r="B109" s="69"/>
      <c r="C109" s="69"/>
      <c r="D109" s="69"/>
      <c r="E109" s="69"/>
      <c r="F109" s="69"/>
      <c r="G109" s="71"/>
      <c r="H109" s="76"/>
      <c r="I109" s="71"/>
      <c r="J109" s="74"/>
    </row>
    <row r="110">
      <c r="B110" s="69"/>
      <c r="C110" s="69"/>
      <c r="D110" s="69"/>
      <c r="E110" s="69"/>
      <c r="F110" s="69"/>
      <c r="G110" s="71"/>
      <c r="H110" s="76"/>
      <c r="I110" s="71"/>
      <c r="J110" s="74"/>
    </row>
    <row r="111">
      <c r="B111" s="69"/>
      <c r="C111" s="69"/>
      <c r="D111" s="69"/>
      <c r="E111" s="69"/>
      <c r="F111" s="69"/>
      <c r="G111" s="71"/>
      <c r="H111" s="76"/>
      <c r="I111" s="71"/>
      <c r="J111" s="74"/>
    </row>
    <row r="112">
      <c r="B112" s="69"/>
      <c r="C112" s="69"/>
      <c r="D112" s="69"/>
      <c r="E112" s="69"/>
      <c r="F112" s="69"/>
      <c r="G112" s="71"/>
      <c r="H112" s="76"/>
      <c r="I112" s="71"/>
      <c r="J112" s="74"/>
    </row>
    <row r="113">
      <c r="B113" s="69"/>
      <c r="C113" s="69"/>
      <c r="D113" s="69"/>
      <c r="E113" s="69"/>
      <c r="F113" s="69"/>
      <c r="G113" s="71"/>
      <c r="H113" s="76"/>
      <c r="I113" s="71"/>
      <c r="J113" s="74"/>
    </row>
    <row r="114">
      <c r="B114" s="69"/>
      <c r="C114" s="69"/>
      <c r="D114" s="69"/>
      <c r="E114" s="69"/>
      <c r="F114" s="69"/>
      <c r="G114" s="71"/>
      <c r="H114" s="76"/>
      <c r="I114" s="71"/>
      <c r="J114" s="74"/>
    </row>
    <row r="115">
      <c r="B115" s="69"/>
      <c r="C115" s="69"/>
      <c r="D115" s="69"/>
      <c r="E115" s="69"/>
      <c r="F115" s="69"/>
      <c r="G115" s="71"/>
      <c r="H115" s="76"/>
      <c r="I115" s="71"/>
      <c r="J115" s="74"/>
    </row>
    <row r="116">
      <c r="B116" s="69"/>
      <c r="C116" s="69"/>
      <c r="D116" s="69"/>
      <c r="E116" s="69"/>
      <c r="F116" s="69"/>
      <c r="G116" s="71"/>
      <c r="H116" s="76"/>
      <c r="I116" s="71"/>
      <c r="J116" s="74"/>
    </row>
    <row r="117">
      <c r="B117" s="69"/>
      <c r="C117" s="69"/>
      <c r="D117" s="69"/>
      <c r="E117" s="69"/>
      <c r="F117" s="69"/>
      <c r="G117" s="71"/>
      <c r="H117" s="76"/>
      <c r="I117" s="71"/>
      <c r="J117" s="74"/>
    </row>
    <row r="118">
      <c r="B118" s="69"/>
      <c r="C118" s="69"/>
      <c r="D118" s="69"/>
      <c r="E118" s="69"/>
      <c r="F118" s="69"/>
      <c r="G118" s="71"/>
      <c r="H118" s="76"/>
      <c r="I118" s="71"/>
      <c r="J118" s="74"/>
    </row>
    <row r="119">
      <c r="B119" s="69"/>
      <c r="C119" s="69"/>
      <c r="D119" s="69"/>
      <c r="E119" s="69"/>
      <c r="F119" s="69"/>
      <c r="G119" s="71"/>
      <c r="H119" s="76"/>
      <c r="I119" s="71"/>
      <c r="J119" s="74"/>
    </row>
    <row r="120">
      <c r="B120" s="69"/>
      <c r="C120" s="69"/>
      <c r="D120" s="69"/>
      <c r="E120" s="69"/>
      <c r="F120" s="69"/>
      <c r="G120" s="71"/>
      <c r="H120" s="76"/>
      <c r="I120" s="71"/>
      <c r="J120" s="74"/>
    </row>
    <row r="121">
      <c r="B121" s="69"/>
      <c r="C121" s="69"/>
      <c r="D121" s="69"/>
      <c r="E121" s="69"/>
      <c r="F121" s="69"/>
      <c r="G121" s="71"/>
      <c r="H121" s="76"/>
      <c r="I121" s="71"/>
      <c r="J121" s="74"/>
    </row>
    <row r="122">
      <c r="B122" s="69"/>
      <c r="C122" s="69"/>
      <c r="D122" s="69"/>
      <c r="E122" s="69"/>
      <c r="F122" s="69"/>
      <c r="G122" s="71"/>
      <c r="H122" s="76"/>
      <c r="I122" s="71"/>
      <c r="J122" s="74"/>
    </row>
    <row r="123">
      <c r="B123" s="69"/>
      <c r="C123" s="69"/>
      <c r="D123" s="69"/>
      <c r="E123" s="69"/>
      <c r="F123" s="69"/>
      <c r="G123" s="71"/>
      <c r="H123" s="76"/>
      <c r="I123" s="71"/>
      <c r="J123" s="74"/>
    </row>
    <row r="124">
      <c r="B124" s="69"/>
      <c r="C124" s="69"/>
      <c r="D124" s="69"/>
      <c r="E124" s="69"/>
      <c r="F124" s="69"/>
      <c r="G124" s="71"/>
      <c r="H124" s="76"/>
      <c r="I124" s="71"/>
      <c r="J124" s="74"/>
    </row>
    <row r="125">
      <c r="B125" s="69"/>
      <c r="C125" s="69"/>
      <c r="D125" s="69"/>
      <c r="E125" s="69"/>
      <c r="F125" s="69"/>
      <c r="G125" s="71"/>
      <c r="H125" s="76"/>
      <c r="I125" s="71"/>
      <c r="J125" s="74"/>
    </row>
    <row r="126">
      <c r="B126" s="69"/>
      <c r="C126" s="69"/>
      <c r="D126" s="69"/>
      <c r="E126" s="69"/>
      <c r="F126" s="69"/>
      <c r="G126" s="71"/>
      <c r="H126" s="76"/>
      <c r="I126" s="71"/>
      <c r="J126" s="74"/>
    </row>
    <row r="127">
      <c r="B127" s="69"/>
      <c r="C127" s="69"/>
      <c r="D127" s="69"/>
      <c r="E127" s="69"/>
      <c r="F127" s="69"/>
      <c r="G127" s="71"/>
      <c r="H127" s="76"/>
      <c r="I127" s="71"/>
      <c r="J127" s="74"/>
    </row>
    <row r="128">
      <c r="B128" s="69"/>
      <c r="C128" s="69"/>
      <c r="D128" s="69"/>
      <c r="E128" s="69"/>
      <c r="F128" s="69"/>
      <c r="G128" s="71"/>
      <c r="H128" s="76"/>
      <c r="I128" s="71"/>
      <c r="J128" s="74"/>
    </row>
    <row r="129">
      <c r="B129" s="69"/>
      <c r="C129" s="69"/>
      <c r="D129" s="69"/>
      <c r="E129" s="69"/>
      <c r="F129" s="69"/>
      <c r="G129" s="71"/>
      <c r="H129" s="76"/>
      <c r="I129" s="71"/>
      <c r="J129" s="74"/>
    </row>
    <row r="130">
      <c r="B130" s="69"/>
      <c r="C130" s="69"/>
      <c r="D130" s="69"/>
      <c r="E130" s="69"/>
      <c r="F130" s="69"/>
      <c r="G130" s="71"/>
      <c r="H130" s="76"/>
      <c r="I130" s="71"/>
      <c r="J130" s="74"/>
    </row>
    <row r="131">
      <c r="B131" s="69"/>
      <c r="C131" s="69"/>
      <c r="D131" s="69"/>
      <c r="E131" s="69"/>
      <c r="F131" s="69"/>
      <c r="G131" s="71"/>
      <c r="H131" s="76"/>
      <c r="I131" s="71"/>
      <c r="J131" s="74"/>
    </row>
    <row r="132">
      <c r="B132" s="69"/>
      <c r="C132" s="69"/>
      <c r="D132" s="69"/>
      <c r="E132" s="69"/>
      <c r="F132" s="69"/>
      <c r="G132" s="71"/>
      <c r="H132" s="76"/>
      <c r="I132" s="71"/>
      <c r="J132" s="74"/>
    </row>
    <row r="133">
      <c r="B133" s="69"/>
      <c r="C133" s="69"/>
      <c r="D133" s="69"/>
      <c r="E133" s="69"/>
      <c r="F133" s="69"/>
      <c r="G133" s="71"/>
      <c r="H133" s="76"/>
      <c r="I133" s="71"/>
      <c r="J133" s="74"/>
    </row>
    <row r="134">
      <c r="B134" s="69"/>
      <c r="C134" s="69"/>
      <c r="D134" s="69"/>
      <c r="E134" s="69"/>
      <c r="F134" s="69"/>
      <c r="G134" s="71"/>
      <c r="H134" s="76"/>
      <c r="I134" s="71"/>
      <c r="J134" s="74"/>
    </row>
    <row r="135">
      <c r="B135" s="69"/>
      <c r="C135" s="69"/>
      <c r="D135" s="69"/>
      <c r="E135" s="69"/>
      <c r="F135" s="69"/>
      <c r="G135" s="71"/>
      <c r="H135" s="76"/>
      <c r="I135" s="71"/>
      <c r="J135" s="74"/>
    </row>
    <row r="136">
      <c r="B136" s="69"/>
      <c r="C136" s="69"/>
      <c r="D136" s="69"/>
      <c r="E136" s="69"/>
      <c r="F136" s="69"/>
      <c r="G136" s="71"/>
      <c r="H136" s="76"/>
      <c r="I136" s="71"/>
      <c r="J136" s="74"/>
    </row>
    <row r="137">
      <c r="B137" s="69"/>
      <c r="C137" s="69"/>
      <c r="D137" s="69"/>
      <c r="E137" s="69"/>
      <c r="F137" s="69"/>
      <c r="G137" s="71"/>
      <c r="H137" s="76"/>
      <c r="I137" s="71"/>
      <c r="J137" s="74"/>
    </row>
    <row r="138">
      <c r="B138" s="69"/>
      <c r="C138" s="69"/>
      <c r="D138" s="69"/>
      <c r="E138" s="69"/>
      <c r="F138" s="69"/>
      <c r="G138" s="71"/>
      <c r="H138" s="76"/>
      <c r="I138" s="71"/>
      <c r="J138" s="74"/>
    </row>
    <row r="139">
      <c r="B139" s="69"/>
      <c r="C139" s="69"/>
      <c r="D139" s="69"/>
      <c r="E139" s="69"/>
      <c r="F139" s="69"/>
      <c r="G139" s="71"/>
      <c r="H139" s="76"/>
      <c r="I139" s="71"/>
      <c r="J139" s="74"/>
    </row>
    <row r="140">
      <c r="B140" s="69"/>
      <c r="C140" s="69"/>
      <c r="D140" s="69"/>
      <c r="E140" s="69"/>
      <c r="F140" s="69"/>
      <c r="G140" s="71"/>
      <c r="H140" s="76"/>
      <c r="I140" s="71"/>
      <c r="J140" s="74"/>
    </row>
    <row r="141">
      <c r="B141" s="69"/>
      <c r="C141" s="69"/>
      <c r="D141" s="69"/>
      <c r="E141" s="69"/>
      <c r="F141" s="69"/>
      <c r="G141" s="71"/>
      <c r="H141" s="76"/>
      <c r="I141" s="71"/>
      <c r="J141" s="74"/>
    </row>
    <row r="142">
      <c r="B142" s="69"/>
      <c r="C142" s="69"/>
      <c r="D142" s="69"/>
      <c r="E142" s="69"/>
      <c r="F142" s="69"/>
      <c r="G142" s="71"/>
      <c r="H142" s="76"/>
      <c r="I142" s="71"/>
      <c r="J142" s="74"/>
    </row>
    <row r="143">
      <c r="B143" s="69"/>
      <c r="C143" s="69"/>
      <c r="D143" s="69"/>
      <c r="E143" s="69"/>
      <c r="F143" s="69"/>
      <c r="G143" s="71"/>
      <c r="H143" s="76"/>
      <c r="I143" s="71"/>
      <c r="J143" s="74"/>
    </row>
    <row r="144">
      <c r="B144" s="69"/>
      <c r="C144" s="69"/>
      <c r="D144" s="69"/>
      <c r="E144" s="69"/>
      <c r="F144" s="69"/>
      <c r="G144" s="71"/>
      <c r="H144" s="76"/>
      <c r="I144" s="71"/>
      <c r="J144" s="74"/>
    </row>
    <row r="145">
      <c r="B145" s="69"/>
      <c r="C145" s="69"/>
      <c r="D145" s="69"/>
      <c r="E145" s="69"/>
      <c r="F145" s="69"/>
      <c r="G145" s="71"/>
      <c r="H145" s="76"/>
      <c r="I145" s="71"/>
      <c r="J145" s="74"/>
    </row>
    <row r="146">
      <c r="B146" s="69"/>
      <c r="C146" s="69"/>
      <c r="D146" s="69"/>
      <c r="E146" s="69"/>
      <c r="F146" s="69"/>
      <c r="G146" s="71"/>
      <c r="H146" s="76"/>
      <c r="I146" s="71"/>
      <c r="J146" s="74"/>
    </row>
    <row r="147">
      <c r="B147" s="69"/>
      <c r="C147" s="69"/>
      <c r="D147" s="69"/>
      <c r="E147" s="69"/>
      <c r="F147" s="69"/>
      <c r="G147" s="71"/>
      <c r="H147" s="76"/>
      <c r="I147" s="71"/>
      <c r="J147" s="74"/>
    </row>
    <row r="148">
      <c r="B148" s="69"/>
      <c r="C148" s="69"/>
      <c r="D148" s="69"/>
      <c r="E148" s="69"/>
      <c r="F148" s="69"/>
      <c r="G148" s="71"/>
      <c r="H148" s="76"/>
      <c r="I148" s="71"/>
      <c r="J148" s="74"/>
    </row>
    <row r="149">
      <c r="B149" s="69"/>
      <c r="C149" s="69"/>
      <c r="D149" s="69"/>
      <c r="E149" s="69"/>
      <c r="F149" s="69"/>
      <c r="G149" s="71"/>
      <c r="H149" s="76"/>
      <c r="I149" s="71"/>
      <c r="J149" s="74"/>
    </row>
    <row r="150">
      <c r="B150" s="69"/>
      <c r="C150" s="69"/>
      <c r="D150" s="69"/>
      <c r="E150" s="69"/>
      <c r="F150" s="69"/>
      <c r="G150" s="71"/>
      <c r="H150" s="76"/>
      <c r="I150" s="71"/>
      <c r="J150" s="74"/>
    </row>
    <row r="151">
      <c r="B151" s="69"/>
      <c r="C151" s="69"/>
      <c r="D151" s="69"/>
      <c r="E151" s="69"/>
      <c r="F151" s="69"/>
      <c r="G151" s="71"/>
      <c r="H151" s="76"/>
      <c r="I151" s="71"/>
      <c r="J151" s="74"/>
    </row>
    <row r="152">
      <c r="B152" s="69"/>
      <c r="C152" s="69"/>
      <c r="D152" s="69"/>
      <c r="E152" s="69"/>
      <c r="F152" s="69"/>
      <c r="G152" s="71"/>
      <c r="H152" s="76"/>
      <c r="I152" s="71"/>
      <c r="J152" s="74"/>
    </row>
    <row r="153">
      <c r="B153" s="69"/>
      <c r="C153" s="69"/>
      <c r="D153" s="69"/>
      <c r="E153" s="69"/>
      <c r="F153" s="69"/>
      <c r="G153" s="71"/>
      <c r="H153" s="76"/>
      <c r="I153" s="71"/>
      <c r="J153" s="74"/>
    </row>
    <row r="154">
      <c r="B154" s="69"/>
      <c r="C154" s="69"/>
      <c r="D154" s="69"/>
      <c r="E154" s="69"/>
      <c r="F154" s="69"/>
      <c r="G154" s="71"/>
      <c r="H154" s="76"/>
      <c r="I154" s="71"/>
      <c r="J154" s="74"/>
    </row>
    <row r="155">
      <c r="B155" s="69"/>
      <c r="C155" s="69"/>
      <c r="D155" s="69"/>
      <c r="E155" s="69"/>
      <c r="F155" s="69"/>
      <c r="G155" s="71"/>
      <c r="H155" s="76"/>
      <c r="I155" s="71"/>
      <c r="J155" s="74"/>
    </row>
    <row r="156">
      <c r="B156" s="69"/>
      <c r="C156" s="69"/>
      <c r="D156" s="69"/>
      <c r="E156" s="69"/>
      <c r="F156" s="69"/>
      <c r="G156" s="71"/>
      <c r="H156" s="76"/>
      <c r="I156" s="71"/>
      <c r="J156" s="74"/>
    </row>
    <row r="157">
      <c r="B157" s="69"/>
      <c r="C157" s="69"/>
      <c r="D157" s="69"/>
      <c r="E157" s="69"/>
      <c r="F157" s="69"/>
      <c r="G157" s="71"/>
      <c r="H157" s="76"/>
      <c r="I157" s="71"/>
      <c r="J157" s="74"/>
    </row>
    <row r="158">
      <c r="B158" s="69"/>
      <c r="C158" s="69"/>
      <c r="D158" s="69"/>
      <c r="E158" s="69"/>
      <c r="F158" s="69"/>
      <c r="G158" s="71"/>
      <c r="H158" s="76"/>
      <c r="I158" s="71"/>
      <c r="J158" s="74"/>
    </row>
    <row r="159">
      <c r="B159" s="69"/>
      <c r="C159" s="69"/>
      <c r="D159" s="69"/>
      <c r="E159" s="69"/>
      <c r="F159" s="69"/>
      <c r="G159" s="71"/>
      <c r="H159" s="76"/>
      <c r="I159" s="71"/>
      <c r="J159" s="74"/>
    </row>
    <row r="160">
      <c r="B160" s="69"/>
      <c r="C160" s="69"/>
      <c r="D160" s="69"/>
      <c r="E160" s="69"/>
      <c r="F160" s="69"/>
      <c r="G160" s="71"/>
      <c r="H160" s="76"/>
      <c r="I160" s="71"/>
      <c r="J160" s="74"/>
    </row>
    <row r="161">
      <c r="B161" s="69"/>
      <c r="C161" s="69"/>
      <c r="D161" s="69"/>
      <c r="E161" s="69"/>
      <c r="F161" s="69"/>
      <c r="G161" s="71"/>
      <c r="H161" s="76"/>
      <c r="I161" s="71"/>
      <c r="J161" s="74"/>
    </row>
    <row r="162">
      <c r="B162" s="69"/>
      <c r="C162" s="69"/>
      <c r="D162" s="69"/>
      <c r="E162" s="69"/>
      <c r="F162" s="69"/>
      <c r="G162" s="71"/>
      <c r="H162" s="76"/>
      <c r="I162" s="71"/>
      <c r="J162" s="74"/>
    </row>
    <row r="163">
      <c r="B163" s="69"/>
      <c r="C163" s="69"/>
      <c r="D163" s="69"/>
      <c r="E163" s="69"/>
      <c r="F163" s="69"/>
      <c r="G163" s="71"/>
      <c r="H163" s="76"/>
      <c r="I163" s="71"/>
      <c r="J163" s="74"/>
    </row>
    <row r="164">
      <c r="B164" s="69"/>
      <c r="C164" s="69"/>
      <c r="D164" s="69"/>
      <c r="E164" s="69"/>
      <c r="F164" s="69"/>
      <c r="G164" s="71"/>
      <c r="H164" s="76"/>
      <c r="I164" s="71"/>
      <c r="J164" s="74"/>
    </row>
    <row r="165">
      <c r="B165" s="69"/>
      <c r="C165" s="69"/>
      <c r="D165" s="69"/>
      <c r="E165" s="69"/>
      <c r="F165" s="69"/>
      <c r="G165" s="71"/>
      <c r="H165" s="76"/>
      <c r="I165" s="71"/>
      <c r="J165" s="74"/>
    </row>
    <row r="166">
      <c r="B166" s="69"/>
      <c r="C166" s="69"/>
      <c r="D166" s="69"/>
      <c r="E166" s="69"/>
      <c r="F166" s="69"/>
      <c r="G166" s="71"/>
      <c r="H166" s="76"/>
      <c r="I166" s="71"/>
      <c r="J166" s="74"/>
    </row>
    <row r="167">
      <c r="B167" s="69"/>
      <c r="C167" s="69"/>
      <c r="D167" s="69"/>
      <c r="E167" s="69"/>
      <c r="F167" s="69"/>
      <c r="G167" s="71"/>
      <c r="H167" s="76"/>
      <c r="I167" s="71"/>
      <c r="J167" s="74"/>
    </row>
    <row r="168">
      <c r="B168" s="69"/>
      <c r="C168" s="69"/>
      <c r="D168" s="69"/>
      <c r="E168" s="69"/>
      <c r="F168" s="69"/>
      <c r="G168" s="71"/>
      <c r="H168" s="76"/>
      <c r="I168" s="71"/>
      <c r="J168" s="74"/>
    </row>
    <row r="169">
      <c r="B169" s="69"/>
      <c r="C169" s="69"/>
      <c r="D169" s="69"/>
      <c r="E169" s="69"/>
      <c r="F169" s="69"/>
      <c r="G169" s="71"/>
      <c r="H169" s="76"/>
      <c r="I169" s="71"/>
      <c r="J169" s="74"/>
    </row>
    <row r="170">
      <c r="B170" s="69"/>
      <c r="C170" s="69"/>
      <c r="D170" s="69"/>
      <c r="E170" s="69"/>
      <c r="F170" s="69"/>
      <c r="G170" s="71"/>
      <c r="H170" s="76"/>
      <c r="I170" s="71"/>
      <c r="J170" s="74"/>
    </row>
    <row r="171">
      <c r="B171" s="69"/>
      <c r="C171" s="69"/>
      <c r="D171" s="69"/>
      <c r="E171" s="69"/>
      <c r="F171" s="69"/>
      <c r="G171" s="71"/>
      <c r="H171" s="76"/>
      <c r="I171" s="71"/>
      <c r="J171" s="74"/>
    </row>
    <row r="172">
      <c r="B172" s="69"/>
      <c r="C172" s="69"/>
      <c r="D172" s="69"/>
      <c r="E172" s="69"/>
      <c r="F172" s="69"/>
      <c r="G172" s="71"/>
      <c r="H172" s="76"/>
      <c r="I172" s="71"/>
      <c r="J172" s="74"/>
    </row>
    <row r="173">
      <c r="B173" s="69"/>
      <c r="C173" s="69"/>
      <c r="D173" s="69"/>
      <c r="E173" s="69"/>
      <c r="F173" s="69"/>
      <c r="G173" s="71"/>
      <c r="H173" s="76"/>
      <c r="I173" s="71"/>
      <c r="J173" s="74"/>
    </row>
    <row r="174">
      <c r="B174" s="69"/>
      <c r="C174" s="69"/>
      <c r="D174" s="69"/>
      <c r="E174" s="69"/>
      <c r="F174" s="69"/>
      <c r="G174" s="71"/>
      <c r="H174" s="76"/>
      <c r="I174" s="71"/>
      <c r="J174" s="74"/>
    </row>
    <row r="175">
      <c r="B175" s="69"/>
      <c r="C175" s="69"/>
      <c r="D175" s="69"/>
      <c r="E175" s="69"/>
      <c r="F175" s="69"/>
      <c r="G175" s="71"/>
      <c r="H175" s="76"/>
      <c r="I175" s="71"/>
      <c r="J175" s="74"/>
    </row>
    <row r="176">
      <c r="B176" s="69"/>
      <c r="C176" s="69"/>
      <c r="D176" s="69"/>
      <c r="E176" s="69"/>
      <c r="F176" s="69"/>
      <c r="G176" s="71"/>
      <c r="H176" s="76"/>
      <c r="I176" s="71"/>
      <c r="J176" s="74"/>
    </row>
    <row r="177">
      <c r="B177" s="69"/>
      <c r="C177" s="69"/>
      <c r="D177" s="69"/>
      <c r="E177" s="69"/>
      <c r="F177" s="69"/>
      <c r="G177" s="71"/>
      <c r="H177" s="76"/>
      <c r="I177" s="71"/>
      <c r="J177" s="74"/>
    </row>
    <row r="178">
      <c r="B178" s="69"/>
      <c r="C178" s="69"/>
      <c r="D178" s="69"/>
      <c r="E178" s="69"/>
      <c r="F178" s="69"/>
      <c r="G178" s="71"/>
      <c r="H178" s="76"/>
      <c r="I178" s="71"/>
      <c r="J178" s="74"/>
    </row>
    <row r="179">
      <c r="B179" s="69"/>
      <c r="C179" s="69"/>
      <c r="D179" s="69"/>
      <c r="E179" s="69"/>
      <c r="F179" s="69"/>
      <c r="G179" s="71"/>
      <c r="H179" s="76"/>
      <c r="I179" s="71"/>
      <c r="J179" s="74"/>
    </row>
    <row r="180">
      <c r="B180" s="69"/>
      <c r="C180" s="69"/>
      <c r="D180" s="69"/>
      <c r="E180" s="69"/>
      <c r="F180" s="69"/>
      <c r="G180" s="71"/>
      <c r="H180" s="76"/>
      <c r="I180" s="71"/>
      <c r="J180" s="74"/>
    </row>
    <row r="181">
      <c r="B181" s="69"/>
      <c r="C181" s="69"/>
      <c r="D181" s="69"/>
      <c r="E181" s="69"/>
      <c r="F181" s="69"/>
      <c r="G181" s="71"/>
      <c r="H181" s="76"/>
      <c r="I181" s="71"/>
      <c r="J181" s="74"/>
    </row>
    <row r="182">
      <c r="A182" s="77"/>
      <c r="B182" s="78"/>
      <c r="C182" s="79"/>
      <c r="D182" s="79"/>
      <c r="E182" s="79"/>
      <c r="F182" s="79"/>
      <c r="G182" s="80"/>
      <c r="H182" s="81"/>
      <c r="I182" s="71"/>
      <c r="J182" s="74"/>
    </row>
    <row r="183">
      <c r="A183" s="82" t="s">
        <v>38</v>
      </c>
      <c r="B183" s="83"/>
      <c r="E183" s="84"/>
      <c r="G183" s="84"/>
      <c r="H183" s="85"/>
    </row>
    <row r="184">
      <c r="A184" s="19" t="s">
        <v>218</v>
      </c>
      <c r="B184" s="15"/>
      <c r="C184" s="16"/>
      <c r="E184" s="84"/>
      <c r="G184" s="84"/>
      <c r="H184" s="85"/>
    </row>
    <row r="185">
      <c r="A185" s="19" t="s">
        <v>219</v>
      </c>
      <c r="B185" s="15"/>
      <c r="C185" s="16"/>
      <c r="E185" s="84"/>
      <c r="G185" s="84"/>
      <c r="H185" s="85"/>
    </row>
    <row r="186">
      <c r="A186" s="19" t="s">
        <v>220</v>
      </c>
      <c r="B186" s="15"/>
      <c r="C186" s="16"/>
      <c r="E186" s="84"/>
      <c r="G186" s="84"/>
      <c r="H186" s="85"/>
    </row>
    <row r="187">
      <c r="A187" s="19" t="s">
        <v>221</v>
      </c>
      <c r="B187" s="15"/>
      <c r="C187" s="16"/>
      <c r="E187" s="84"/>
      <c r="G187" s="84"/>
      <c r="H187" s="85"/>
    </row>
    <row r="188">
      <c r="A188" s="19" t="s">
        <v>222</v>
      </c>
      <c r="B188" s="15"/>
      <c r="C188" s="16"/>
      <c r="E188" s="84"/>
      <c r="G188" s="84"/>
      <c r="H188" s="85"/>
    </row>
    <row r="189">
      <c r="A189" s="86" t="s">
        <v>223</v>
      </c>
      <c r="B189" s="87"/>
      <c r="C189" s="88"/>
      <c r="E189" s="84"/>
      <c r="G189" s="84"/>
      <c r="H189" s="85"/>
    </row>
    <row r="190">
      <c r="A190" s="89" t="s">
        <v>224</v>
      </c>
      <c r="B190" s="90"/>
      <c r="C190" s="91"/>
      <c r="E190" s="84"/>
      <c r="G190" s="84"/>
      <c r="H190" s="85"/>
    </row>
    <row r="191">
      <c r="A191" s="84"/>
      <c r="B191" s="84"/>
      <c r="E191" s="84"/>
      <c r="G191" s="84"/>
      <c r="H191" s="85"/>
    </row>
    <row r="192">
      <c r="A192" s="84"/>
      <c r="B192" s="84"/>
      <c r="E192" s="84"/>
      <c r="G192" s="84"/>
      <c r="H192" s="85"/>
    </row>
    <row r="193">
      <c r="A193" s="84"/>
      <c r="B193" s="84"/>
      <c r="E193" s="84"/>
      <c r="G193" s="84"/>
      <c r="H193" s="85"/>
    </row>
    <row r="194">
      <c r="A194" s="84"/>
      <c r="B194" s="84"/>
      <c r="E194" s="84"/>
      <c r="G194" s="84"/>
      <c r="H194" s="85"/>
    </row>
    <row r="195">
      <c r="A195" s="84"/>
      <c r="B195" s="84"/>
      <c r="E195" s="84"/>
      <c r="G195" s="84"/>
      <c r="H195" s="85"/>
    </row>
    <row r="196">
      <c r="A196" s="84"/>
      <c r="B196" s="84"/>
      <c r="E196" s="84"/>
      <c r="G196" s="84"/>
      <c r="H196" s="85"/>
    </row>
    <row r="197">
      <c r="A197" s="84"/>
      <c r="B197" s="84"/>
      <c r="E197" s="84"/>
      <c r="G197" s="84"/>
      <c r="H197" s="85"/>
    </row>
    <row r="198">
      <c r="A198" s="84"/>
      <c r="B198" s="84"/>
      <c r="E198" s="84"/>
      <c r="G198" s="84"/>
      <c r="H198" s="85"/>
    </row>
    <row r="199">
      <c r="A199" s="84"/>
      <c r="B199" s="84"/>
      <c r="E199" s="84"/>
      <c r="G199" s="84"/>
      <c r="H199" s="85"/>
    </row>
    <row r="200">
      <c r="A200" s="84"/>
      <c r="B200" s="84"/>
      <c r="E200" s="84"/>
      <c r="G200" s="84"/>
      <c r="H200" s="85"/>
    </row>
    <row r="201">
      <c r="A201" s="84"/>
      <c r="B201" s="84"/>
      <c r="E201" s="84"/>
      <c r="G201" s="84"/>
      <c r="H201" s="85"/>
    </row>
    <row r="202">
      <c r="A202" s="84"/>
      <c r="B202" s="84"/>
      <c r="E202" s="84"/>
      <c r="G202" s="84"/>
      <c r="H202" s="85"/>
    </row>
    <row r="203">
      <c r="A203" s="84"/>
      <c r="B203" s="84"/>
      <c r="E203" s="84"/>
      <c r="G203" s="84"/>
      <c r="H203" s="85"/>
    </row>
    <row r="204">
      <c r="A204" s="84"/>
      <c r="B204" s="84"/>
      <c r="E204" s="84"/>
      <c r="G204" s="84"/>
      <c r="H204" s="85"/>
    </row>
    <row r="205">
      <c r="A205" s="84"/>
      <c r="B205" s="84"/>
      <c r="E205" s="84"/>
      <c r="G205" s="84"/>
      <c r="H205" s="85"/>
    </row>
    <row r="206">
      <c r="A206" s="84"/>
      <c r="B206" s="84"/>
      <c r="E206" s="84"/>
      <c r="G206" s="84"/>
      <c r="H206" s="85"/>
    </row>
    <row r="207">
      <c r="A207" s="84"/>
      <c r="B207" s="84"/>
      <c r="E207" s="84"/>
      <c r="G207" s="84"/>
      <c r="H207" s="85"/>
    </row>
    <row r="208">
      <c r="A208" s="84"/>
      <c r="B208" s="84"/>
      <c r="E208" s="84"/>
      <c r="G208" s="84"/>
      <c r="H208" s="85"/>
    </row>
    <row r="209">
      <c r="A209" s="84"/>
      <c r="B209" s="84"/>
      <c r="E209" s="84"/>
      <c r="G209" s="84"/>
      <c r="H209" s="85"/>
    </row>
    <row r="210">
      <c r="A210" s="84"/>
      <c r="B210" s="84"/>
      <c r="E210" s="84"/>
      <c r="G210" s="84"/>
      <c r="H210" s="85"/>
    </row>
    <row r="211">
      <c r="A211" s="84"/>
      <c r="B211" s="84"/>
      <c r="E211" s="84"/>
      <c r="G211" s="84"/>
      <c r="H211" s="85"/>
    </row>
    <row r="212">
      <c r="A212" s="84"/>
      <c r="B212" s="84"/>
      <c r="E212" s="84"/>
      <c r="G212" s="84"/>
      <c r="H212" s="85"/>
    </row>
    <row r="213">
      <c r="A213" s="84"/>
      <c r="B213" s="84"/>
      <c r="E213" s="84"/>
      <c r="G213" s="84"/>
      <c r="H213" s="85"/>
    </row>
    <row r="214">
      <c r="A214" s="84"/>
      <c r="B214" s="84"/>
      <c r="E214" s="84"/>
      <c r="G214" s="84"/>
      <c r="H214" s="85"/>
    </row>
    <row r="215">
      <c r="A215" s="84"/>
      <c r="B215" s="84"/>
      <c r="E215" s="84"/>
      <c r="G215" s="84"/>
      <c r="H215" s="85"/>
    </row>
    <row r="216">
      <c r="A216" s="84"/>
      <c r="B216" s="84"/>
      <c r="E216" s="84"/>
      <c r="G216" s="84"/>
      <c r="H216" s="85"/>
    </row>
    <row r="217">
      <c r="A217" s="84"/>
      <c r="B217" s="84"/>
      <c r="E217" s="84"/>
      <c r="G217" s="84"/>
      <c r="H217" s="85"/>
    </row>
    <row r="218">
      <c r="A218" s="84"/>
      <c r="B218" s="84"/>
      <c r="E218" s="84"/>
      <c r="G218" s="84"/>
      <c r="H218" s="85"/>
    </row>
    <row r="219">
      <c r="A219" s="84"/>
      <c r="B219" s="84"/>
      <c r="E219" s="84"/>
      <c r="G219" s="84"/>
      <c r="H219" s="85"/>
    </row>
    <row r="220">
      <c r="A220" s="84"/>
      <c r="B220" s="84"/>
      <c r="E220" s="84"/>
      <c r="G220" s="84"/>
      <c r="H220" s="85"/>
    </row>
    <row r="221">
      <c r="A221" s="84"/>
      <c r="B221" s="84"/>
      <c r="E221" s="84"/>
      <c r="G221" s="84"/>
      <c r="H221" s="85"/>
    </row>
    <row r="222">
      <c r="A222" s="84"/>
      <c r="B222" s="84"/>
      <c r="E222" s="84"/>
      <c r="G222" s="84"/>
      <c r="H222" s="85"/>
    </row>
    <row r="223">
      <c r="A223" s="84"/>
      <c r="B223" s="84"/>
      <c r="E223" s="84"/>
      <c r="G223" s="84"/>
      <c r="H223" s="85"/>
    </row>
    <row r="224">
      <c r="A224" s="84"/>
      <c r="B224" s="84"/>
      <c r="E224" s="84"/>
      <c r="G224" s="84"/>
      <c r="H224" s="85"/>
    </row>
    <row r="225">
      <c r="A225" s="84"/>
      <c r="B225" s="84"/>
      <c r="E225" s="84"/>
      <c r="G225" s="84"/>
      <c r="H225" s="85"/>
    </row>
    <row r="226">
      <c r="A226" s="84"/>
      <c r="B226" s="84"/>
      <c r="E226" s="84"/>
      <c r="G226" s="84"/>
      <c r="H226" s="85"/>
    </row>
    <row r="227">
      <c r="A227" s="84"/>
      <c r="B227" s="84"/>
      <c r="E227" s="84"/>
      <c r="G227" s="84"/>
      <c r="H227" s="85"/>
    </row>
    <row r="228">
      <c r="A228" s="84"/>
      <c r="B228" s="84"/>
      <c r="E228" s="84"/>
      <c r="G228" s="84"/>
      <c r="H228" s="85"/>
    </row>
    <row r="229">
      <c r="A229" s="84"/>
      <c r="B229" s="84"/>
      <c r="E229" s="84"/>
      <c r="G229" s="84"/>
      <c r="H229" s="85"/>
    </row>
    <row r="230">
      <c r="A230" s="84"/>
      <c r="B230" s="84"/>
      <c r="E230" s="84"/>
      <c r="G230" s="84"/>
      <c r="H230" s="85"/>
    </row>
    <row r="231">
      <c r="A231" s="84"/>
      <c r="B231" s="84"/>
      <c r="E231" s="84"/>
      <c r="G231" s="84"/>
      <c r="H231" s="85"/>
    </row>
    <row r="232">
      <c r="A232" s="84"/>
      <c r="B232" s="84"/>
      <c r="E232" s="84"/>
      <c r="G232" s="84"/>
      <c r="H232" s="85"/>
    </row>
    <row r="233">
      <c r="A233" s="84"/>
      <c r="B233" s="84"/>
      <c r="E233" s="84"/>
      <c r="G233" s="84"/>
      <c r="H233" s="85"/>
    </row>
    <row r="234">
      <c r="A234" s="84"/>
      <c r="B234" s="84"/>
      <c r="E234" s="84"/>
      <c r="G234" s="84"/>
      <c r="H234" s="85"/>
    </row>
    <row r="235">
      <c r="A235" s="84"/>
      <c r="B235" s="84"/>
      <c r="E235" s="84"/>
      <c r="G235" s="84"/>
      <c r="H235" s="85"/>
    </row>
    <row r="236">
      <c r="A236" s="84"/>
      <c r="B236" s="84"/>
      <c r="E236" s="84"/>
      <c r="G236" s="84"/>
      <c r="H236" s="85"/>
    </row>
    <row r="237">
      <c r="A237" s="84"/>
      <c r="B237" s="84"/>
      <c r="E237" s="84"/>
      <c r="G237" s="84"/>
      <c r="H237" s="85"/>
    </row>
    <row r="238">
      <c r="A238" s="84"/>
      <c r="B238" s="84"/>
      <c r="E238" s="84"/>
      <c r="G238" s="84"/>
      <c r="H238" s="85"/>
    </row>
    <row r="239">
      <c r="A239" s="84"/>
      <c r="B239" s="84"/>
      <c r="E239" s="84"/>
      <c r="G239" s="84"/>
      <c r="H239" s="85"/>
    </row>
    <row r="240">
      <c r="A240" s="84"/>
      <c r="B240" s="84"/>
      <c r="E240" s="84"/>
      <c r="G240" s="84"/>
      <c r="H240" s="85"/>
    </row>
    <row r="241">
      <c r="A241" s="84"/>
      <c r="B241" s="84"/>
      <c r="E241" s="84"/>
      <c r="G241" s="84"/>
      <c r="H241" s="85"/>
    </row>
    <row r="242">
      <c r="A242" s="84"/>
      <c r="B242" s="84"/>
      <c r="E242" s="84"/>
      <c r="G242" s="84"/>
      <c r="H242" s="85"/>
    </row>
    <row r="243">
      <c r="A243" s="84"/>
      <c r="B243" s="84"/>
      <c r="E243" s="84"/>
      <c r="G243" s="84"/>
      <c r="H243" s="85"/>
    </row>
    <row r="244">
      <c r="A244" s="84"/>
      <c r="B244" s="84"/>
      <c r="E244" s="84"/>
      <c r="G244" s="84"/>
      <c r="H244" s="85"/>
    </row>
    <row r="245">
      <c r="A245" s="84"/>
      <c r="B245" s="84"/>
      <c r="E245" s="84"/>
      <c r="G245" s="84"/>
      <c r="H245" s="85"/>
    </row>
    <row r="246">
      <c r="A246" s="84"/>
      <c r="B246" s="84"/>
      <c r="E246" s="84"/>
      <c r="G246" s="84"/>
      <c r="H246" s="85"/>
    </row>
    <row r="247">
      <c r="A247" s="84"/>
      <c r="B247" s="84"/>
      <c r="E247" s="84"/>
      <c r="G247" s="84"/>
      <c r="H247" s="85"/>
    </row>
    <row r="248">
      <c r="A248" s="84"/>
      <c r="B248" s="84"/>
      <c r="E248" s="84"/>
      <c r="G248" s="84"/>
      <c r="H248" s="85"/>
    </row>
    <row r="249">
      <c r="A249" s="84"/>
      <c r="B249" s="84"/>
      <c r="E249" s="84"/>
      <c r="G249" s="84"/>
      <c r="H249" s="85"/>
    </row>
    <row r="250">
      <c r="A250" s="84"/>
      <c r="B250" s="84"/>
      <c r="E250" s="84"/>
      <c r="G250" s="84"/>
      <c r="H250" s="85"/>
    </row>
    <row r="251">
      <c r="A251" s="84"/>
      <c r="B251" s="84"/>
      <c r="E251" s="84"/>
      <c r="G251" s="84"/>
      <c r="H251" s="85"/>
    </row>
    <row r="252">
      <c r="A252" s="84"/>
      <c r="B252" s="84"/>
      <c r="E252" s="84"/>
      <c r="G252" s="84"/>
      <c r="H252" s="85"/>
    </row>
    <row r="253">
      <c r="A253" s="84"/>
      <c r="B253" s="84"/>
      <c r="E253" s="84"/>
      <c r="G253" s="84"/>
      <c r="H253" s="85"/>
    </row>
    <row r="254">
      <c r="A254" s="84"/>
      <c r="B254" s="84"/>
      <c r="E254" s="84"/>
      <c r="G254" s="84"/>
      <c r="H254" s="85"/>
    </row>
    <row r="255">
      <c r="A255" s="84"/>
      <c r="B255" s="84"/>
      <c r="E255" s="84"/>
      <c r="G255" s="84"/>
      <c r="H255" s="85"/>
    </row>
    <row r="256">
      <c r="A256" s="84"/>
      <c r="B256" s="84"/>
      <c r="E256" s="84"/>
      <c r="G256" s="84"/>
      <c r="H256" s="85"/>
    </row>
    <row r="257">
      <c r="A257" s="84"/>
      <c r="B257" s="84"/>
      <c r="E257" s="84"/>
      <c r="G257" s="84"/>
      <c r="H257" s="85"/>
    </row>
    <row r="258">
      <c r="A258" s="84"/>
      <c r="B258" s="84"/>
      <c r="E258" s="84"/>
      <c r="G258" s="84"/>
      <c r="H258" s="85"/>
    </row>
    <row r="259">
      <c r="A259" s="84"/>
      <c r="B259" s="84"/>
      <c r="E259" s="84"/>
      <c r="G259" s="84"/>
      <c r="H259" s="85"/>
    </row>
    <row r="260">
      <c r="A260" s="84"/>
      <c r="B260" s="84"/>
      <c r="E260" s="84"/>
      <c r="G260" s="84"/>
      <c r="H260" s="85"/>
    </row>
    <row r="261">
      <c r="A261" s="84"/>
      <c r="B261" s="84"/>
      <c r="E261" s="84"/>
      <c r="G261" s="84"/>
      <c r="H261" s="85"/>
    </row>
    <row r="262">
      <c r="A262" s="84"/>
      <c r="B262" s="84"/>
      <c r="E262" s="84"/>
      <c r="G262" s="84"/>
      <c r="H262" s="85"/>
    </row>
    <row r="263">
      <c r="A263" s="84"/>
      <c r="B263" s="84"/>
      <c r="E263" s="84"/>
      <c r="G263" s="84"/>
      <c r="H263" s="85"/>
    </row>
    <row r="264">
      <c r="A264" s="84"/>
      <c r="B264" s="84"/>
      <c r="E264" s="84"/>
      <c r="G264" s="84"/>
      <c r="H264" s="85"/>
    </row>
    <row r="265">
      <c r="A265" s="84"/>
      <c r="B265" s="84"/>
      <c r="E265" s="84"/>
      <c r="G265" s="84"/>
      <c r="H265" s="85"/>
    </row>
    <row r="266">
      <c r="A266" s="84"/>
      <c r="B266" s="84"/>
      <c r="E266" s="84"/>
      <c r="G266" s="84"/>
      <c r="H266" s="85"/>
    </row>
    <row r="267">
      <c r="A267" s="84"/>
      <c r="B267" s="84"/>
      <c r="E267" s="84"/>
      <c r="G267" s="84"/>
      <c r="H267" s="85"/>
    </row>
    <row r="268">
      <c r="A268" s="84"/>
      <c r="B268" s="84"/>
      <c r="E268" s="84"/>
      <c r="G268" s="84"/>
      <c r="H268" s="85"/>
    </row>
    <row r="269">
      <c r="A269" s="84"/>
      <c r="B269" s="84"/>
      <c r="E269" s="84"/>
      <c r="G269" s="84"/>
      <c r="H269" s="85"/>
    </row>
    <row r="270">
      <c r="A270" s="84"/>
      <c r="B270" s="84"/>
      <c r="E270" s="84"/>
      <c r="G270" s="84"/>
      <c r="H270" s="85"/>
    </row>
    <row r="271">
      <c r="A271" s="84"/>
      <c r="B271" s="84"/>
      <c r="E271" s="84"/>
      <c r="G271" s="84"/>
      <c r="H271" s="85"/>
    </row>
    <row r="272">
      <c r="A272" s="84"/>
      <c r="B272" s="84"/>
      <c r="E272" s="84"/>
      <c r="G272" s="84"/>
      <c r="H272" s="85"/>
    </row>
    <row r="273">
      <c r="A273" s="84"/>
      <c r="B273" s="84"/>
      <c r="E273" s="84"/>
      <c r="G273" s="84"/>
      <c r="H273" s="85"/>
    </row>
    <row r="274">
      <c r="A274" s="84"/>
      <c r="B274" s="84"/>
      <c r="E274" s="84"/>
      <c r="G274" s="84"/>
      <c r="H274" s="85"/>
    </row>
    <row r="275">
      <c r="A275" s="84"/>
      <c r="B275" s="84"/>
      <c r="E275" s="84"/>
      <c r="G275" s="84"/>
      <c r="H275" s="85"/>
    </row>
    <row r="276">
      <c r="A276" s="84"/>
      <c r="B276" s="84"/>
      <c r="E276" s="84"/>
      <c r="G276" s="84"/>
      <c r="H276" s="85"/>
    </row>
    <row r="277">
      <c r="A277" s="84"/>
      <c r="B277" s="84"/>
      <c r="E277" s="84"/>
      <c r="G277" s="84"/>
      <c r="H277" s="85"/>
    </row>
    <row r="278">
      <c r="A278" s="84"/>
      <c r="B278" s="84"/>
      <c r="E278" s="84"/>
      <c r="G278" s="84"/>
      <c r="H278" s="85"/>
    </row>
    <row r="279">
      <c r="A279" s="84"/>
      <c r="B279" s="84"/>
      <c r="E279" s="84"/>
      <c r="G279" s="84"/>
      <c r="H279" s="85"/>
    </row>
    <row r="280">
      <c r="A280" s="84"/>
      <c r="B280" s="84"/>
      <c r="E280" s="84"/>
      <c r="G280" s="84"/>
      <c r="H280" s="85"/>
    </row>
    <row r="281">
      <c r="A281" s="84"/>
      <c r="B281" s="84"/>
      <c r="E281" s="84"/>
      <c r="G281" s="84"/>
      <c r="H281" s="85"/>
    </row>
    <row r="282">
      <c r="A282" s="84"/>
      <c r="B282" s="84"/>
      <c r="E282" s="84"/>
      <c r="G282" s="84"/>
      <c r="H282" s="85"/>
    </row>
    <row r="283">
      <c r="A283" s="84"/>
      <c r="B283" s="84"/>
      <c r="E283" s="84"/>
      <c r="G283" s="84"/>
      <c r="H283" s="85"/>
    </row>
    <row r="284">
      <c r="A284" s="84"/>
      <c r="B284" s="84"/>
      <c r="E284" s="84"/>
      <c r="G284" s="84"/>
      <c r="H284" s="85"/>
    </row>
    <row r="285">
      <c r="A285" s="84"/>
      <c r="B285" s="84"/>
      <c r="E285" s="84"/>
      <c r="G285" s="84"/>
      <c r="H285" s="85"/>
    </row>
    <row r="286">
      <c r="A286" s="84"/>
      <c r="B286" s="84"/>
      <c r="E286" s="84"/>
      <c r="G286" s="84"/>
      <c r="H286" s="85"/>
    </row>
    <row r="287">
      <c r="A287" s="84"/>
      <c r="B287" s="84"/>
      <c r="E287" s="84"/>
      <c r="G287" s="84"/>
      <c r="H287" s="85"/>
    </row>
    <row r="288">
      <c r="A288" s="84"/>
      <c r="B288" s="84"/>
      <c r="E288" s="84"/>
      <c r="G288" s="84"/>
      <c r="H288" s="85"/>
    </row>
    <row r="289">
      <c r="A289" s="84"/>
      <c r="B289" s="84"/>
      <c r="E289" s="84"/>
      <c r="G289" s="84"/>
      <c r="H289" s="85"/>
    </row>
    <row r="290">
      <c r="A290" s="84"/>
      <c r="B290" s="84"/>
      <c r="E290" s="84"/>
      <c r="G290" s="84"/>
      <c r="H290" s="85"/>
    </row>
    <row r="291">
      <c r="A291" s="84"/>
      <c r="B291" s="84"/>
      <c r="E291" s="84"/>
      <c r="G291" s="84"/>
      <c r="H291" s="85"/>
    </row>
    <row r="292">
      <c r="A292" s="84"/>
      <c r="B292" s="84"/>
      <c r="E292" s="84"/>
      <c r="G292" s="84"/>
      <c r="H292" s="85"/>
    </row>
    <row r="293">
      <c r="A293" s="84"/>
      <c r="B293" s="84"/>
      <c r="E293" s="84"/>
      <c r="G293" s="84"/>
      <c r="H293" s="85"/>
    </row>
    <row r="294">
      <c r="A294" s="84"/>
      <c r="B294" s="84"/>
      <c r="E294" s="84"/>
      <c r="G294" s="84"/>
      <c r="H294" s="85"/>
    </row>
    <row r="295">
      <c r="A295" s="84"/>
      <c r="B295" s="84"/>
      <c r="E295" s="84"/>
      <c r="G295" s="84"/>
      <c r="H295" s="85"/>
    </row>
    <row r="296">
      <c r="A296" s="84"/>
      <c r="B296" s="84"/>
      <c r="E296" s="84"/>
      <c r="G296" s="84"/>
      <c r="H296" s="85"/>
    </row>
    <row r="297">
      <c r="A297" s="84"/>
      <c r="B297" s="84"/>
      <c r="E297" s="84"/>
      <c r="G297" s="84"/>
      <c r="H297" s="85"/>
    </row>
    <row r="298">
      <c r="A298" s="84"/>
      <c r="B298" s="84"/>
      <c r="E298" s="84"/>
      <c r="G298" s="84"/>
      <c r="H298" s="85"/>
    </row>
    <row r="299">
      <c r="A299" s="84"/>
      <c r="B299" s="84"/>
      <c r="E299" s="84"/>
      <c r="G299" s="84"/>
      <c r="H299" s="85"/>
    </row>
    <row r="300">
      <c r="A300" s="84"/>
      <c r="B300" s="84"/>
      <c r="E300" s="84"/>
      <c r="G300" s="84"/>
      <c r="H300" s="85"/>
    </row>
    <row r="301">
      <c r="A301" s="84"/>
      <c r="B301" s="84"/>
      <c r="E301" s="84"/>
      <c r="G301" s="84"/>
      <c r="H301" s="85"/>
    </row>
    <row r="302">
      <c r="A302" s="84"/>
      <c r="B302" s="84"/>
      <c r="E302" s="84"/>
      <c r="G302" s="84"/>
      <c r="H302" s="85"/>
    </row>
    <row r="303">
      <c r="A303" s="84"/>
      <c r="B303" s="84"/>
      <c r="E303" s="84"/>
      <c r="G303" s="84"/>
      <c r="H303" s="85"/>
    </row>
    <row r="304">
      <c r="A304" s="84"/>
      <c r="B304" s="84"/>
      <c r="E304" s="84"/>
      <c r="G304" s="84"/>
      <c r="H304" s="85"/>
    </row>
    <row r="305">
      <c r="A305" s="84"/>
      <c r="B305" s="84"/>
      <c r="E305" s="84"/>
      <c r="G305" s="84"/>
      <c r="H305" s="85"/>
    </row>
    <row r="306">
      <c r="A306" s="84"/>
      <c r="B306" s="84"/>
      <c r="E306" s="84"/>
      <c r="G306" s="84"/>
      <c r="H306" s="85"/>
    </row>
    <row r="307">
      <c r="A307" s="84"/>
      <c r="B307" s="84"/>
      <c r="E307" s="84"/>
      <c r="G307" s="84"/>
      <c r="H307" s="85"/>
    </row>
    <row r="308">
      <c r="A308" s="84"/>
      <c r="B308" s="84"/>
      <c r="E308" s="84"/>
      <c r="G308" s="84"/>
      <c r="H308" s="85"/>
    </row>
    <row r="309">
      <c r="A309" s="84"/>
      <c r="B309" s="84"/>
      <c r="E309" s="84"/>
      <c r="G309" s="84"/>
      <c r="H309" s="85"/>
    </row>
    <row r="310">
      <c r="A310" s="84"/>
      <c r="B310" s="84"/>
      <c r="E310" s="84"/>
      <c r="G310" s="84"/>
      <c r="H310" s="85"/>
    </row>
    <row r="311">
      <c r="A311" s="84"/>
      <c r="B311" s="84"/>
      <c r="E311" s="84"/>
      <c r="G311" s="84"/>
      <c r="H311" s="85"/>
    </row>
    <row r="312">
      <c r="A312" s="84"/>
      <c r="B312" s="84"/>
      <c r="E312" s="84"/>
      <c r="G312" s="84"/>
      <c r="H312" s="85"/>
    </row>
    <row r="313">
      <c r="A313" s="84"/>
      <c r="B313" s="84"/>
      <c r="E313" s="84"/>
      <c r="G313" s="84"/>
      <c r="H313" s="85"/>
    </row>
    <row r="314">
      <c r="A314" s="84"/>
      <c r="B314" s="84"/>
      <c r="E314" s="84"/>
      <c r="G314" s="84"/>
      <c r="H314" s="85"/>
    </row>
    <row r="315">
      <c r="A315" s="84"/>
      <c r="B315" s="84"/>
      <c r="E315" s="84"/>
      <c r="G315" s="84"/>
      <c r="H315" s="85"/>
    </row>
    <row r="316">
      <c r="A316" s="84"/>
      <c r="B316" s="84"/>
      <c r="E316" s="84"/>
      <c r="G316" s="84"/>
      <c r="H316" s="85"/>
    </row>
    <row r="317">
      <c r="A317" s="84"/>
      <c r="B317" s="84"/>
      <c r="E317" s="84"/>
      <c r="G317" s="84"/>
      <c r="H317" s="85"/>
    </row>
    <row r="318">
      <c r="A318" s="84"/>
      <c r="B318" s="84"/>
      <c r="E318" s="84"/>
      <c r="G318" s="84"/>
      <c r="H318" s="85"/>
    </row>
    <row r="319">
      <c r="A319" s="84"/>
      <c r="B319" s="84"/>
      <c r="E319" s="84"/>
      <c r="G319" s="84"/>
      <c r="H319" s="85"/>
    </row>
    <row r="320">
      <c r="A320" s="84"/>
      <c r="B320" s="84"/>
      <c r="E320" s="84"/>
      <c r="G320" s="84"/>
      <c r="H320" s="85"/>
    </row>
    <row r="321">
      <c r="A321" s="84"/>
      <c r="B321" s="84"/>
      <c r="E321" s="84"/>
      <c r="G321" s="84"/>
      <c r="H321" s="85"/>
    </row>
    <row r="322">
      <c r="A322" s="84"/>
      <c r="B322" s="84"/>
      <c r="E322" s="84"/>
      <c r="G322" s="84"/>
      <c r="H322" s="85"/>
    </row>
    <row r="323">
      <c r="A323" s="84"/>
      <c r="B323" s="84"/>
      <c r="E323" s="84"/>
      <c r="G323" s="84"/>
      <c r="H323" s="85"/>
    </row>
    <row r="324">
      <c r="A324" s="84"/>
      <c r="B324" s="84"/>
      <c r="E324" s="84"/>
      <c r="G324" s="84"/>
      <c r="H324" s="85"/>
    </row>
    <row r="325">
      <c r="A325" s="84"/>
      <c r="B325" s="84"/>
      <c r="E325" s="84"/>
      <c r="G325" s="84"/>
      <c r="H325" s="85"/>
    </row>
    <row r="326">
      <c r="A326" s="84"/>
      <c r="B326" s="84"/>
      <c r="E326" s="84"/>
      <c r="G326" s="84"/>
      <c r="H326" s="85"/>
    </row>
    <row r="327">
      <c r="A327" s="84"/>
      <c r="B327" s="84"/>
      <c r="E327" s="84"/>
      <c r="G327" s="84"/>
      <c r="H327" s="85"/>
    </row>
    <row r="328">
      <c r="A328" s="84"/>
      <c r="B328" s="84"/>
      <c r="E328" s="84"/>
      <c r="G328" s="84"/>
      <c r="H328" s="85"/>
    </row>
    <row r="329">
      <c r="A329" s="84"/>
      <c r="B329" s="84"/>
      <c r="E329" s="84"/>
      <c r="G329" s="84"/>
      <c r="H329" s="85"/>
    </row>
    <row r="330">
      <c r="A330" s="84"/>
      <c r="B330" s="84"/>
      <c r="E330" s="84"/>
      <c r="G330" s="84"/>
      <c r="H330" s="85"/>
    </row>
    <row r="331">
      <c r="A331" s="84"/>
      <c r="B331" s="84"/>
      <c r="E331" s="84"/>
      <c r="G331" s="84"/>
      <c r="H331" s="85"/>
    </row>
    <row r="332">
      <c r="A332" s="84"/>
      <c r="B332" s="84"/>
      <c r="E332" s="84"/>
      <c r="G332" s="84"/>
      <c r="H332" s="85"/>
    </row>
    <row r="333">
      <c r="A333" s="84"/>
      <c r="B333" s="84"/>
      <c r="E333" s="84"/>
      <c r="G333" s="84"/>
      <c r="H333" s="85"/>
    </row>
    <row r="334">
      <c r="A334" s="84"/>
      <c r="B334" s="84"/>
      <c r="E334" s="84"/>
      <c r="G334" s="84"/>
      <c r="H334" s="85"/>
    </row>
    <row r="335">
      <c r="A335" s="84"/>
      <c r="B335" s="84"/>
      <c r="E335" s="84"/>
      <c r="G335" s="84"/>
      <c r="H335" s="85"/>
    </row>
    <row r="336">
      <c r="A336" s="84"/>
      <c r="B336" s="84"/>
      <c r="E336" s="84"/>
      <c r="G336" s="84"/>
      <c r="H336" s="85"/>
    </row>
    <row r="337">
      <c r="A337" s="84"/>
      <c r="B337" s="84"/>
      <c r="E337" s="84"/>
      <c r="G337" s="84"/>
      <c r="H337" s="85"/>
    </row>
    <row r="338">
      <c r="A338" s="84"/>
      <c r="B338" s="84"/>
      <c r="E338" s="84"/>
      <c r="G338" s="84"/>
      <c r="H338" s="85"/>
    </row>
    <row r="339">
      <c r="A339" s="84"/>
      <c r="B339" s="84"/>
      <c r="E339" s="84"/>
      <c r="G339" s="84"/>
      <c r="H339" s="85"/>
    </row>
    <row r="340">
      <c r="A340" s="84"/>
      <c r="B340" s="84"/>
      <c r="E340" s="84"/>
      <c r="G340" s="84"/>
      <c r="H340" s="85"/>
    </row>
    <row r="341">
      <c r="A341" s="84"/>
      <c r="B341" s="84"/>
      <c r="E341" s="84"/>
      <c r="G341" s="84"/>
      <c r="H341" s="85"/>
    </row>
    <row r="342">
      <c r="A342" s="84"/>
      <c r="B342" s="84"/>
      <c r="E342" s="84"/>
      <c r="G342" s="84"/>
      <c r="H342" s="85"/>
    </row>
    <row r="343">
      <c r="A343" s="84"/>
      <c r="B343" s="84"/>
      <c r="E343" s="84"/>
      <c r="G343" s="84"/>
      <c r="H343" s="85"/>
    </row>
    <row r="344">
      <c r="A344" s="84"/>
      <c r="B344" s="84"/>
      <c r="E344" s="84"/>
      <c r="G344" s="84"/>
      <c r="H344" s="85"/>
    </row>
    <row r="345">
      <c r="A345" s="84"/>
      <c r="B345" s="84"/>
      <c r="E345" s="84"/>
      <c r="G345" s="84"/>
      <c r="H345" s="85"/>
    </row>
    <row r="346">
      <c r="A346" s="84"/>
      <c r="B346" s="84"/>
      <c r="E346" s="84"/>
      <c r="G346" s="84"/>
      <c r="H346" s="85"/>
    </row>
    <row r="347">
      <c r="A347" s="84"/>
      <c r="B347" s="84"/>
      <c r="E347" s="84"/>
      <c r="G347" s="84"/>
      <c r="H347" s="85"/>
    </row>
    <row r="348">
      <c r="A348" s="84"/>
      <c r="B348" s="84"/>
      <c r="E348" s="84"/>
      <c r="G348" s="84"/>
      <c r="H348" s="85"/>
    </row>
    <row r="349">
      <c r="A349" s="84"/>
      <c r="B349" s="84"/>
      <c r="E349" s="84"/>
      <c r="G349" s="84"/>
      <c r="H349" s="85"/>
    </row>
    <row r="350">
      <c r="A350" s="84"/>
      <c r="B350" s="84"/>
      <c r="E350" s="84"/>
      <c r="G350" s="84"/>
      <c r="H350" s="85"/>
    </row>
    <row r="351">
      <c r="A351" s="84"/>
      <c r="B351" s="84"/>
      <c r="E351" s="84"/>
      <c r="G351" s="84"/>
      <c r="H351" s="85"/>
    </row>
    <row r="352">
      <c r="A352" s="84"/>
      <c r="B352" s="84"/>
      <c r="E352" s="84"/>
      <c r="G352" s="84"/>
      <c r="H352" s="85"/>
    </row>
    <row r="353">
      <c r="A353" s="84"/>
      <c r="B353" s="84"/>
      <c r="E353" s="84"/>
      <c r="G353" s="84"/>
      <c r="H353" s="85"/>
    </row>
    <row r="354">
      <c r="A354" s="84"/>
      <c r="B354" s="84"/>
      <c r="E354" s="84"/>
      <c r="G354" s="84"/>
      <c r="H354" s="85"/>
    </row>
    <row r="355">
      <c r="A355" s="84"/>
      <c r="B355" s="84"/>
      <c r="E355" s="84"/>
      <c r="G355" s="84"/>
      <c r="H355" s="85"/>
    </row>
    <row r="356">
      <c r="A356" s="84"/>
      <c r="B356" s="84"/>
      <c r="E356" s="84"/>
      <c r="G356" s="84"/>
      <c r="H356" s="85"/>
    </row>
    <row r="357">
      <c r="A357" s="84"/>
      <c r="B357" s="84"/>
      <c r="E357" s="84"/>
      <c r="G357" s="84"/>
      <c r="H357" s="85"/>
    </row>
    <row r="358">
      <c r="A358" s="84"/>
      <c r="B358" s="84"/>
      <c r="E358" s="84"/>
      <c r="G358" s="84"/>
      <c r="H358" s="85"/>
    </row>
    <row r="359">
      <c r="A359" s="84"/>
      <c r="B359" s="84"/>
      <c r="E359" s="84"/>
      <c r="G359" s="84"/>
      <c r="H359" s="85"/>
    </row>
    <row r="360">
      <c r="A360" s="84"/>
      <c r="B360" s="84"/>
      <c r="E360" s="84"/>
      <c r="G360" s="84"/>
      <c r="H360" s="85"/>
    </row>
    <row r="361">
      <c r="A361" s="84"/>
      <c r="B361" s="84"/>
      <c r="E361" s="84"/>
      <c r="G361" s="84"/>
      <c r="H361" s="85"/>
    </row>
    <row r="362">
      <c r="A362" s="84"/>
      <c r="B362" s="84"/>
      <c r="E362" s="84"/>
      <c r="G362" s="84"/>
      <c r="H362" s="85"/>
    </row>
    <row r="363">
      <c r="A363" s="84"/>
      <c r="B363" s="84"/>
      <c r="E363" s="84"/>
      <c r="G363" s="84"/>
      <c r="H363" s="85"/>
    </row>
    <row r="364">
      <c r="A364" s="84"/>
      <c r="B364" s="84"/>
      <c r="E364" s="84"/>
      <c r="G364" s="84"/>
      <c r="H364" s="85"/>
    </row>
    <row r="365">
      <c r="A365" s="84"/>
      <c r="B365" s="84"/>
      <c r="E365" s="84"/>
      <c r="G365" s="84"/>
      <c r="H365" s="85"/>
    </row>
    <row r="366">
      <c r="A366" s="84"/>
      <c r="B366" s="84"/>
      <c r="E366" s="84"/>
      <c r="G366" s="84"/>
      <c r="H366" s="85"/>
    </row>
    <row r="367">
      <c r="A367" s="84"/>
      <c r="B367" s="84"/>
      <c r="E367" s="84"/>
      <c r="G367" s="84"/>
      <c r="H367" s="85"/>
    </row>
    <row r="368">
      <c r="A368" s="84"/>
      <c r="B368" s="84"/>
      <c r="E368" s="84"/>
      <c r="G368" s="84"/>
      <c r="H368" s="85"/>
    </row>
    <row r="369">
      <c r="A369" s="84"/>
      <c r="B369" s="84"/>
      <c r="E369" s="84"/>
      <c r="G369" s="84"/>
      <c r="H369" s="85"/>
    </row>
    <row r="370">
      <c r="A370" s="84"/>
      <c r="B370" s="84"/>
      <c r="E370" s="84"/>
      <c r="G370" s="84"/>
      <c r="H370" s="85"/>
    </row>
    <row r="371">
      <c r="A371" s="84"/>
      <c r="B371" s="84"/>
      <c r="E371" s="84"/>
      <c r="G371" s="84"/>
      <c r="H371" s="85"/>
    </row>
    <row r="372">
      <c r="A372" s="84"/>
      <c r="B372" s="84"/>
      <c r="E372" s="84"/>
      <c r="G372" s="84"/>
      <c r="H372" s="85"/>
    </row>
    <row r="373">
      <c r="A373" s="84"/>
      <c r="B373" s="84"/>
      <c r="E373" s="84"/>
      <c r="G373" s="84"/>
      <c r="H373" s="85"/>
    </row>
    <row r="374">
      <c r="A374" s="84"/>
      <c r="B374" s="84"/>
      <c r="E374" s="84"/>
      <c r="G374" s="84"/>
      <c r="H374" s="85"/>
    </row>
    <row r="375">
      <c r="A375" s="84"/>
      <c r="B375" s="84"/>
      <c r="E375" s="84"/>
      <c r="G375" s="84"/>
      <c r="H375" s="85"/>
    </row>
    <row r="376">
      <c r="A376" s="84"/>
      <c r="B376" s="84"/>
      <c r="E376" s="84"/>
      <c r="G376" s="84"/>
      <c r="H376" s="85"/>
    </row>
    <row r="377">
      <c r="A377" s="84"/>
      <c r="B377" s="84"/>
      <c r="E377" s="84"/>
      <c r="G377" s="84"/>
      <c r="H377" s="85"/>
    </row>
    <row r="378">
      <c r="A378" s="84"/>
      <c r="B378" s="84"/>
      <c r="E378" s="84"/>
      <c r="G378" s="84"/>
      <c r="H378" s="85"/>
    </row>
    <row r="379">
      <c r="A379" s="84"/>
      <c r="B379" s="84"/>
      <c r="E379" s="84"/>
      <c r="G379" s="84"/>
      <c r="H379" s="85"/>
    </row>
    <row r="380">
      <c r="A380" s="84"/>
      <c r="B380" s="84"/>
      <c r="E380" s="84"/>
      <c r="G380" s="84"/>
      <c r="H380" s="85"/>
    </row>
    <row r="381">
      <c r="A381" s="84"/>
      <c r="B381" s="84"/>
      <c r="E381" s="84"/>
      <c r="G381" s="84"/>
      <c r="H381" s="85"/>
    </row>
    <row r="382">
      <c r="A382" s="84"/>
      <c r="B382" s="84"/>
      <c r="E382" s="84"/>
      <c r="G382" s="84"/>
      <c r="H382" s="85"/>
    </row>
    <row r="383">
      <c r="A383" s="84"/>
      <c r="B383" s="84"/>
      <c r="E383" s="84"/>
      <c r="G383" s="84"/>
      <c r="H383" s="85"/>
    </row>
    <row r="384">
      <c r="A384" s="84"/>
      <c r="B384" s="84"/>
      <c r="E384" s="84"/>
      <c r="G384" s="84"/>
      <c r="H384" s="85"/>
    </row>
    <row r="385">
      <c r="A385" s="84"/>
      <c r="B385" s="84"/>
      <c r="E385" s="84"/>
      <c r="G385" s="84"/>
      <c r="H385" s="85"/>
    </row>
    <row r="386">
      <c r="A386" s="84"/>
      <c r="B386" s="84"/>
      <c r="E386" s="84"/>
      <c r="G386" s="84"/>
      <c r="H386" s="85"/>
    </row>
    <row r="387">
      <c r="A387" s="84"/>
      <c r="B387" s="84"/>
      <c r="E387" s="84"/>
      <c r="G387" s="84"/>
      <c r="H387" s="85"/>
    </row>
    <row r="388">
      <c r="A388" s="84"/>
      <c r="B388" s="84"/>
      <c r="E388" s="84"/>
      <c r="G388" s="84"/>
      <c r="H388" s="85"/>
    </row>
    <row r="389">
      <c r="A389" s="84"/>
      <c r="B389" s="84"/>
      <c r="E389" s="84"/>
      <c r="G389" s="84"/>
      <c r="H389" s="85"/>
    </row>
    <row r="390">
      <c r="A390" s="84"/>
      <c r="B390" s="84"/>
      <c r="E390" s="84"/>
      <c r="G390" s="84"/>
      <c r="H390" s="85"/>
    </row>
    <row r="391">
      <c r="A391" s="84"/>
      <c r="B391" s="84"/>
      <c r="E391" s="84"/>
      <c r="G391" s="84"/>
      <c r="H391" s="85"/>
    </row>
    <row r="392">
      <c r="A392" s="84"/>
      <c r="B392" s="84"/>
      <c r="E392" s="84"/>
      <c r="G392" s="84"/>
      <c r="H392" s="85"/>
    </row>
    <row r="393">
      <c r="A393" s="84"/>
      <c r="B393" s="84"/>
      <c r="E393" s="84"/>
      <c r="G393" s="84"/>
      <c r="H393" s="85"/>
    </row>
    <row r="394">
      <c r="A394" s="84"/>
      <c r="B394" s="84"/>
      <c r="E394" s="84"/>
      <c r="G394" s="84"/>
      <c r="H394" s="85"/>
    </row>
    <row r="395">
      <c r="A395" s="84"/>
      <c r="B395" s="84"/>
      <c r="E395" s="84"/>
      <c r="G395" s="84"/>
      <c r="H395" s="85"/>
    </row>
    <row r="396">
      <c r="A396" s="84"/>
      <c r="B396" s="84"/>
      <c r="E396" s="84"/>
      <c r="G396" s="84"/>
      <c r="H396" s="85"/>
    </row>
    <row r="397">
      <c r="A397" s="84"/>
      <c r="B397" s="84"/>
      <c r="E397" s="84"/>
      <c r="G397" s="84"/>
      <c r="H397" s="85"/>
    </row>
    <row r="398">
      <c r="A398" s="84"/>
      <c r="B398" s="84"/>
      <c r="E398" s="84"/>
      <c r="G398" s="84"/>
      <c r="H398" s="85"/>
    </row>
    <row r="399">
      <c r="A399" s="84"/>
      <c r="B399" s="84"/>
      <c r="E399" s="84"/>
      <c r="G399" s="84"/>
      <c r="H399" s="85"/>
    </row>
    <row r="400">
      <c r="A400" s="84"/>
      <c r="B400" s="84"/>
      <c r="E400" s="84"/>
      <c r="G400" s="84"/>
      <c r="H400" s="85"/>
    </row>
    <row r="401">
      <c r="A401" s="84"/>
      <c r="B401" s="84"/>
      <c r="E401" s="84"/>
      <c r="G401" s="84"/>
      <c r="H401" s="85"/>
    </row>
    <row r="402">
      <c r="A402" s="84"/>
      <c r="B402" s="84"/>
      <c r="E402" s="84"/>
      <c r="G402" s="84"/>
      <c r="H402" s="85"/>
    </row>
    <row r="403">
      <c r="A403" s="84"/>
      <c r="B403" s="84"/>
      <c r="E403" s="84"/>
      <c r="G403" s="84"/>
      <c r="H403" s="85"/>
    </row>
    <row r="404">
      <c r="A404" s="84"/>
      <c r="B404" s="84"/>
      <c r="E404" s="84"/>
      <c r="G404" s="84"/>
      <c r="H404" s="85"/>
    </row>
    <row r="405">
      <c r="A405" s="84"/>
      <c r="B405" s="84"/>
      <c r="E405" s="84"/>
      <c r="G405" s="84"/>
      <c r="H405" s="85"/>
    </row>
    <row r="406">
      <c r="A406" s="84"/>
      <c r="B406" s="84"/>
      <c r="E406" s="84"/>
      <c r="G406" s="84"/>
      <c r="H406" s="85"/>
    </row>
    <row r="407">
      <c r="A407" s="84"/>
      <c r="B407" s="84"/>
      <c r="E407" s="84"/>
      <c r="G407" s="84"/>
      <c r="H407" s="85"/>
    </row>
    <row r="408">
      <c r="A408" s="84"/>
      <c r="B408" s="84"/>
      <c r="E408" s="84"/>
      <c r="G408" s="84"/>
      <c r="H408" s="85"/>
    </row>
    <row r="409">
      <c r="A409" s="84"/>
      <c r="B409" s="84"/>
      <c r="E409" s="84"/>
      <c r="G409" s="84"/>
      <c r="H409" s="85"/>
    </row>
    <row r="410">
      <c r="A410" s="84"/>
      <c r="B410" s="84"/>
      <c r="E410" s="84"/>
      <c r="G410" s="84"/>
      <c r="H410" s="85"/>
    </row>
    <row r="411">
      <c r="A411" s="84"/>
      <c r="B411" s="84"/>
      <c r="E411" s="84"/>
      <c r="G411" s="84"/>
      <c r="H411" s="85"/>
    </row>
    <row r="412">
      <c r="A412" s="84"/>
      <c r="B412" s="84"/>
      <c r="E412" s="84"/>
      <c r="G412" s="84"/>
      <c r="H412" s="85"/>
    </row>
    <row r="413">
      <c r="A413" s="84"/>
      <c r="B413" s="84"/>
      <c r="E413" s="84"/>
      <c r="G413" s="84"/>
      <c r="H413" s="85"/>
    </row>
    <row r="414">
      <c r="A414" s="84"/>
      <c r="B414" s="84"/>
      <c r="E414" s="84"/>
      <c r="G414" s="84"/>
      <c r="H414" s="85"/>
    </row>
    <row r="415">
      <c r="A415" s="84"/>
      <c r="B415" s="84"/>
      <c r="E415" s="84"/>
      <c r="G415" s="84"/>
      <c r="H415" s="85"/>
    </row>
    <row r="416">
      <c r="A416" s="84"/>
      <c r="B416" s="84"/>
      <c r="E416" s="84"/>
      <c r="G416" s="84"/>
      <c r="H416" s="85"/>
    </row>
    <row r="417">
      <c r="A417" s="84"/>
      <c r="B417" s="84"/>
      <c r="E417" s="84"/>
      <c r="G417" s="84"/>
      <c r="H417" s="85"/>
    </row>
    <row r="418">
      <c r="A418" s="84"/>
      <c r="B418" s="84"/>
      <c r="E418" s="84"/>
      <c r="G418" s="84"/>
      <c r="H418" s="85"/>
    </row>
    <row r="419">
      <c r="A419" s="84"/>
      <c r="B419" s="84"/>
      <c r="E419" s="84"/>
      <c r="G419" s="84"/>
      <c r="H419" s="85"/>
    </row>
    <row r="420">
      <c r="A420" s="84"/>
      <c r="B420" s="84"/>
      <c r="E420" s="84"/>
      <c r="G420" s="84"/>
      <c r="H420" s="85"/>
    </row>
    <row r="421">
      <c r="A421" s="84"/>
      <c r="B421" s="84"/>
      <c r="E421" s="84"/>
      <c r="G421" s="84"/>
      <c r="H421" s="85"/>
    </row>
    <row r="422">
      <c r="A422" s="84"/>
      <c r="B422" s="84"/>
      <c r="E422" s="84"/>
      <c r="G422" s="84"/>
      <c r="H422" s="85"/>
    </row>
    <row r="423">
      <c r="A423" s="84"/>
      <c r="B423" s="84"/>
      <c r="E423" s="84"/>
      <c r="G423" s="84"/>
      <c r="H423" s="85"/>
    </row>
    <row r="424">
      <c r="A424" s="84"/>
      <c r="B424" s="84"/>
      <c r="E424" s="84"/>
      <c r="G424" s="84"/>
      <c r="H424" s="85"/>
    </row>
    <row r="425">
      <c r="A425" s="84"/>
      <c r="B425" s="84"/>
      <c r="E425" s="84"/>
      <c r="G425" s="84"/>
      <c r="H425" s="85"/>
    </row>
    <row r="426">
      <c r="A426" s="84"/>
      <c r="B426" s="84"/>
      <c r="E426" s="84"/>
      <c r="G426" s="84"/>
      <c r="H426" s="85"/>
    </row>
    <row r="427">
      <c r="A427" s="84"/>
      <c r="B427" s="84"/>
      <c r="E427" s="84"/>
      <c r="G427" s="84"/>
      <c r="H427" s="85"/>
    </row>
    <row r="428">
      <c r="A428" s="84"/>
      <c r="B428" s="84"/>
      <c r="E428" s="84"/>
      <c r="G428" s="84"/>
      <c r="H428" s="85"/>
    </row>
    <row r="429">
      <c r="A429" s="84"/>
      <c r="B429" s="84"/>
      <c r="E429" s="84"/>
      <c r="G429" s="84"/>
      <c r="H429" s="85"/>
    </row>
    <row r="430">
      <c r="A430" s="84"/>
      <c r="B430" s="84"/>
      <c r="E430" s="84"/>
      <c r="G430" s="84"/>
      <c r="H430" s="85"/>
    </row>
    <row r="431">
      <c r="A431" s="84"/>
      <c r="B431" s="84"/>
      <c r="E431" s="84"/>
      <c r="G431" s="84"/>
      <c r="H431" s="85"/>
    </row>
    <row r="432">
      <c r="A432" s="84"/>
      <c r="B432" s="84"/>
      <c r="E432" s="84"/>
      <c r="G432" s="84"/>
      <c r="H432" s="85"/>
    </row>
    <row r="433">
      <c r="A433" s="84"/>
      <c r="B433" s="84"/>
      <c r="E433" s="84"/>
      <c r="G433" s="84"/>
      <c r="H433" s="85"/>
    </row>
    <row r="434">
      <c r="A434" s="84"/>
      <c r="B434" s="84"/>
      <c r="E434" s="84"/>
      <c r="G434" s="84"/>
      <c r="H434" s="85"/>
    </row>
    <row r="435">
      <c r="A435" s="84"/>
      <c r="B435" s="84"/>
      <c r="E435" s="84"/>
      <c r="G435" s="84"/>
      <c r="H435" s="85"/>
    </row>
    <row r="436">
      <c r="A436" s="84"/>
      <c r="B436" s="84"/>
      <c r="E436" s="84"/>
      <c r="G436" s="84"/>
      <c r="H436" s="85"/>
    </row>
    <row r="437">
      <c r="A437" s="84"/>
      <c r="B437" s="84"/>
      <c r="E437" s="84"/>
      <c r="G437" s="84"/>
      <c r="H437" s="85"/>
    </row>
    <row r="438">
      <c r="A438" s="84"/>
      <c r="B438" s="84"/>
      <c r="E438" s="84"/>
      <c r="G438" s="84"/>
      <c r="H438" s="85"/>
    </row>
    <row r="439">
      <c r="A439" s="84"/>
      <c r="B439" s="84"/>
      <c r="E439" s="84"/>
      <c r="G439" s="84"/>
      <c r="H439" s="85"/>
    </row>
    <row r="440">
      <c r="A440" s="84"/>
      <c r="B440" s="84"/>
      <c r="E440" s="84"/>
      <c r="G440" s="84"/>
      <c r="H440" s="85"/>
    </row>
    <row r="441">
      <c r="A441" s="84"/>
      <c r="B441" s="84"/>
      <c r="E441" s="84"/>
      <c r="G441" s="84"/>
      <c r="H441" s="85"/>
    </row>
    <row r="442">
      <c r="A442" s="84"/>
      <c r="B442" s="84"/>
      <c r="E442" s="84"/>
      <c r="G442" s="84"/>
      <c r="H442" s="85"/>
    </row>
    <row r="443">
      <c r="A443" s="84"/>
      <c r="B443" s="84"/>
      <c r="E443" s="84"/>
      <c r="G443" s="84"/>
      <c r="H443" s="85"/>
    </row>
    <row r="444">
      <c r="A444" s="84"/>
      <c r="B444" s="84"/>
      <c r="E444" s="84"/>
      <c r="G444" s="84"/>
      <c r="H444" s="85"/>
    </row>
    <row r="445">
      <c r="A445" s="84"/>
      <c r="B445" s="84"/>
      <c r="E445" s="84"/>
      <c r="G445" s="84"/>
      <c r="H445" s="85"/>
    </row>
    <row r="446">
      <c r="A446" s="84"/>
      <c r="B446" s="84"/>
      <c r="E446" s="84"/>
      <c r="G446" s="84"/>
      <c r="H446" s="85"/>
    </row>
    <row r="447">
      <c r="A447" s="84"/>
      <c r="B447" s="84"/>
      <c r="E447" s="84"/>
      <c r="G447" s="84"/>
      <c r="H447" s="85"/>
    </row>
    <row r="448">
      <c r="A448" s="84"/>
      <c r="B448" s="84"/>
      <c r="E448" s="84"/>
      <c r="G448" s="84"/>
      <c r="H448" s="85"/>
    </row>
    <row r="449">
      <c r="A449" s="84"/>
      <c r="B449" s="84"/>
      <c r="E449" s="84"/>
      <c r="G449" s="84"/>
      <c r="H449" s="85"/>
    </row>
    <row r="450">
      <c r="A450" s="84"/>
      <c r="B450" s="84"/>
      <c r="E450" s="84"/>
      <c r="G450" s="84"/>
      <c r="H450" s="85"/>
    </row>
    <row r="451">
      <c r="A451" s="84"/>
      <c r="B451" s="84"/>
      <c r="E451" s="84"/>
      <c r="G451" s="84"/>
      <c r="H451" s="85"/>
    </row>
    <row r="452">
      <c r="A452" s="84"/>
      <c r="B452" s="84"/>
      <c r="E452" s="84"/>
      <c r="G452" s="84"/>
      <c r="H452" s="85"/>
    </row>
    <row r="453">
      <c r="A453" s="84"/>
      <c r="B453" s="84"/>
      <c r="E453" s="84"/>
      <c r="G453" s="84"/>
      <c r="H453" s="85"/>
    </row>
    <row r="454">
      <c r="A454" s="84"/>
      <c r="B454" s="84"/>
      <c r="E454" s="84"/>
      <c r="G454" s="84"/>
      <c r="H454" s="85"/>
    </row>
    <row r="455">
      <c r="A455" s="84"/>
      <c r="B455" s="84"/>
      <c r="E455" s="84"/>
      <c r="G455" s="84"/>
      <c r="H455" s="85"/>
    </row>
    <row r="456">
      <c r="A456" s="84"/>
      <c r="B456" s="84"/>
      <c r="E456" s="84"/>
      <c r="G456" s="84"/>
      <c r="H456" s="85"/>
    </row>
    <row r="457">
      <c r="A457" s="84"/>
      <c r="B457" s="84"/>
      <c r="E457" s="84"/>
      <c r="G457" s="84"/>
      <c r="H457" s="85"/>
    </row>
    <row r="458">
      <c r="A458" s="84"/>
      <c r="B458" s="84"/>
      <c r="E458" s="84"/>
      <c r="G458" s="84"/>
      <c r="H458" s="85"/>
    </row>
    <row r="459">
      <c r="A459" s="84"/>
      <c r="B459" s="84"/>
      <c r="E459" s="84"/>
      <c r="G459" s="84"/>
      <c r="H459" s="85"/>
    </row>
    <row r="460">
      <c r="A460" s="84"/>
      <c r="B460" s="84"/>
      <c r="E460" s="84"/>
      <c r="G460" s="84"/>
      <c r="H460" s="85"/>
    </row>
    <row r="461">
      <c r="A461" s="84"/>
      <c r="B461" s="84"/>
      <c r="E461" s="84"/>
      <c r="G461" s="84"/>
      <c r="H461" s="85"/>
    </row>
    <row r="462">
      <c r="A462" s="84"/>
      <c r="B462" s="84"/>
      <c r="E462" s="84"/>
      <c r="G462" s="84"/>
      <c r="H462" s="85"/>
    </row>
    <row r="463">
      <c r="A463" s="84"/>
      <c r="B463" s="84"/>
      <c r="E463" s="84"/>
      <c r="G463" s="84"/>
      <c r="H463" s="85"/>
    </row>
    <row r="464">
      <c r="A464" s="84"/>
      <c r="B464" s="84"/>
      <c r="E464" s="84"/>
      <c r="G464" s="84"/>
      <c r="H464" s="85"/>
    </row>
    <row r="465">
      <c r="A465" s="84"/>
      <c r="B465" s="84"/>
      <c r="E465" s="84"/>
      <c r="G465" s="84"/>
      <c r="H465" s="85"/>
    </row>
    <row r="466">
      <c r="A466" s="84"/>
      <c r="B466" s="84"/>
      <c r="E466" s="84"/>
      <c r="G466" s="84"/>
      <c r="H466" s="85"/>
    </row>
    <row r="467">
      <c r="A467" s="84"/>
      <c r="B467" s="84"/>
      <c r="E467" s="84"/>
      <c r="G467" s="84"/>
      <c r="H467" s="85"/>
    </row>
    <row r="468">
      <c r="A468" s="84"/>
      <c r="B468" s="84"/>
      <c r="E468" s="84"/>
      <c r="G468" s="84"/>
      <c r="H468" s="85"/>
    </row>
    <row r="469">
      <c r="A469" s="84"/>
      <c r="B469" s="84"/>
      <c r="E469" s="84"/>
      <c r="G469" s="84"/>
      <c r="H469" s="85"/>
    </row>
    <row r="470">
      <c r="A470" s="84"/>
      <c r="B470" s="84"/>
      <c r="E470" s="84"/>
      <c r="G470" s="84"/>
      <c r="H470" s="85"/>
    </row>
    <row r="471">
      <c r="A471" s="84"/>
      <c r="B471" s="84"/>
      <c r="E471" s="84"/>
      <c r="G471" s="84"/>
      <c r="H471" s="85"/>
    </row>
    <row r="472">
      <c r="A472" s="84"/>
      <c r="B472" s="84"/>
      <c r="E472" s="84"/>
      <c r="G472" s="84"/>
      <c r="H472" s="85"/>
    </row>
    <row r="473">
      <c r="A473" s="84"/>
      <c r="B473" s="84"/>
      <c r="E473" s="84"/>
      <c r="G473" s="84"/>
      <c r="H473" s="85"/>
    </row>
    <row r="474">
      <c r="A474" s="84"/>
      <c r="B474" s="84"/>
      <c r="E474" s="84"/>
      <c r="G474" s="84"/>
      <c r="H474" s="85"/>
    </row>
    <row r="475">
      <c r="A475" s="84"/>
      <c r="B475" s="84"/>
      <c r="E475" s="84"/>
      <c r="G475" s="84"/>
      <c r="H475" s="85"/>
    </row>
    <row r="476">
      <c r="A476" s="84"/>
      <c r="B476" s="84"/>
      <c r="E476" s="84"/>
      <c r="G476" s="84"/>
      <c r="H476" s="85"/>
    </row>
    <row r="477">
      <c r="A477" s="84"/>
      <c r="B477" s="84"/>
      <c r="E477" s="84"/>
      <c r="G477" s="84"/>
      <c r="H477" s="85"/>
    </row>
    <row r="478">
      <c r="A478" s="84"/>
      <c r="B478" s="84"/>
      <c r="E478" s="84"/>
      <c r="G478" s="84"/>
      <c r="H478" s="85"/>
    </row>
    <row r="479">
      <c r="A479" s="84"/>
      <c r="B479" s="84"/>
      <c r="E479" s="84"/>
      <c r="G479" s="84"/>
      <c r="H479" s="85"/>
    </row>
    <row r="480">
      <c r="A480" s="84"/>
      <c r="B480" s="84"/>
      <c r="E480" s="84"/>
      <c r="G480" s="84"/>
      <c r="H480" s="85"/>
    </row>
    <row r="481">
      <c r="A481" s="84"/>
      <c r="B481" s="84"/>
      <c r="E481" s="84"/>
      <c r="G481" s="84"/>
      <c r="H481" s="85"/>
    </row>
    <row r="482">
      <c r="A482" s="84"/>
      <c r="B482" s="84"/>
      <c r="E482" s="84"/>
      <c r="G482" s="84"/>
      <c r="H482" s="85"/>
    </row>
    <row r="483">
      <c r="A483" s="84"/>
      <c r="B483" s="84"/>
      <c r="E483" s="84"/>
      <c r="G483" s="84"/>
      <c r="H483" s="85"/>
    </row>
    <row r="484">
      <c r="A484" s="84"/>
      <c r="B484" s="84"/>
      <c r="E484" s="84"/>
      <c r="G484" s="84"/>
      <c r="H484" s="85"/>
    </row>
    <row r="485">
      <c r="A485" s="84"/>
      <c r="B485" s="84"/>
      <c r="E485" s="84"/>
      <c r="G485" s="84"/>
      <c r="H485" s="85"/>
    </row>
    <row r="486">
      <c r="A486" s="84"/>
      <c r="B486" s="84"/>
      <c r="E486" s="84"/>
      <c r="G486" s="84"/>
      <c r="H486" s="85"/>
    </row>
    <row r="487">
      <c r="A487" s="84"/>
      <c r="B487" s="84"/>
      <c r="E487" s="84"/>
      <c r="G487" s="84"/>
      <c r="H487" s="85"/>
    </row>
    <row r="488">
      <c r="A488" s="84"/>
      <c r="B488" s="84"/>
      <c r="E488" s="84"/>
      <c r="G488" s="84"/>
      <c r="H488" s="85"/>
    </row>
    <row r="489">
      <c r="A489" s="84"/>
      <c r="B489" s="84"/>
      <c r="E489" s="84"/>
      <c r="G489" s="84"/>
      <c r="H489" s="85"/>
    </row>
    <row r="490">
      <c r="A490" s="84"/>
      <c r="B490" s="84"/>
      <c r="E490" s="84"/>
      <c r="G490" s="84"/>
      <c r="H490" s="85"/>
    </row>
    <row r="491">
      <c r="A491" s="84"/>
      <c r="B491" s="84"/>
      <c r="E491" s="84"/>
      <c r="G491" s="84"/>
      <c r="H491" s="85"/>
    </row>
    <row r="492">
      <c r="A492" s="84"/>
      <c r="B492" s="84"/>
      <c r="E492" s="84"/>
      <c r="G492" s="84"/>
      <c r="H492" s="85"/>
    </row>
    <row r="493">
      <c r="A493" s="84"/>
      <c r="B493" s="84"/>
      <c r="E493" s="84"/>
      <c r="G493" s="84"/>
      <c r="H493" s="85"/>
    </row>
    <row r="494">
      <c r="A494" s="84"/>
      <c r="B494" s="84"/>
      <c r="E494" s="84"/>
      <c r="G494" s="84"/>
      <c r="H494" s="85"/>
    </row>
    <row r="495">
      <c r="A495" s="84"/>
      <c r="B495" s="84"/>
      <c r="E495" s="84"/>
      <c r="G495" s="84"/>
      <c r="H495" s="85"/>
    </row>
    <row r="496">
      <c r="A496" s="84"/>
      <c r="B496" s="84"/>
      <c r="E496" s="84"/>
      <c r="G496" s="84"/>
      <c r="H496" s="85"/>
    </row>
    <row r="497">
      <c r="A497" s="84"/>
      <c r="B497" s="84"/>
      <c r="E497" s="84"/>
      <c r="G497" s="84"/>
      <c r="H497" s="85"/>
    </row>
    <row r="498">
      <c r="A498" s="84"/>
      <c r="B498" s="84"/>
      <c r="E498" s="84"/>
      <c r="G498" s="84"/>
      <c r="H498" s="85"/>
    </row>
    <row r="499">
      <c r="A499" s="84"/>
      <c r="B499" s="84"/>
      <c r="E499" s="84"/>
      <c r="G499" s="84"/>
      <c r="H499" s="85"/>
    </row>
    <row r="500">
      <c r="A500" s="84"/>
      <c r="B500" s="84"/>
      <c r="E500" s="84"/>
      <c r="G500" s="84"/>
      <c r="H500" s="85"/>
    </row>
    <row r="501">
      <c r="A501" s="84"/>
      <c r="B501" s="84"/>
      <c r="E501" s="84"/>
      <c r="G501" s="84"/>
      <c r="H501" s="85"/>
    </row>
    <row r="502">
      <c r="A502" s="84"/>
      <c r="B502" s="84"/>
      <c r="E502" s="84"/>
      <c r="G502" s="84"/>
      <c r="H502" s="85"/>
    </row>
    <row r="503">
      <c r="A503" s="84"/>
      <c r="B503" s="84"/>
      <c r="E503" s="84"/>
      <c r="G503" s="84"/>
      <c r="H503" s="85"/>
    </row>
    <row r="504">
      <c r="A504" s="84"/>
      <c r="B504" s="84"/>
      <c r="E504" s="84"/>
      <c r="G504" s="84"/>
      <c r="H504" s="85"/>
    </row>
    <row r="505">
      <c r="A505" s="84"/>
      <c r="B505" s="84"/>
      <c r="E505" s="84"/>
      <c r="G505" s="84"/>
      <c r="H505" s="85"/>
    </row>
    <row r="506">
      <c r="A506" s="84"/>
      <c r="B506" s="84"/>
      <c r="E506" s="84"/>
      <c r="G506" s="84"/>
      <c r="H506" s="85"/>
    </row>
    <row r="507">
      <c r="A507" s="84"/>
      <c r="B507" s="84"/>
      <c r="E507" s="84"/>
      <c r="G507" s="84"/>
      <c r="H507" s="85"/>
    </row>
    <row r="508">
      <c r="A508" s="84"/>
      <c r="B508" s="84"/>
      <c r="E508" s="84"/>
      <c r="G508" s="84"/>
      <c r="H508" s="85"/>
    </row>
    <row r="509">
      <c r="A509" s="84"/>
      <c r="B509" s="84"/>
      <c r="E509" s="84"/>
      <c r="G509" s="84"/>
      <c r="H509" s="85"/>
    </row>
    <row r="510">
      <c r="A510" s="84"/>
      <c r="B510" s="84"/>
      <c r="E510" s="84"/>
      <c r="G510" s="84"/>
      <c r="H510" s="85"/>
    </row>
    <row r="511">
      <c r="A511" s="84"/>
      <c r="B511" s="84"/>
      <c r="E511" s="84"/>
      <c r="G511" s="84"/>
      <c r="H511" s="85"/>
    </row>
    <row r="512">
      <c r="A512" s="84"/>
      <c r="B512" s="84"/>
      <c r="E512" s="84"/>
      <c r="G512" s="84"/>
      <c r="H512" s="85"/>
    </row>
    <row r="513">
      <c r="A513" s="84"/>
      <c r="B513" s="84"/>
      <c r="E513" s="84"/>
      <c r="G513" s="84"/>
      <c r="H513" s="85"/>
    </row>
    <row r="514">
      <c r="A514" s="84"/>
      <c r="B514" s="84"/>
      <c r="E514" s="84"/>
      <c r="G514" s="84"/>
      <c r="H514" s="85"/>
    </row>
    <row r="515">
      <c r="A515" s="84"/>
      <c r="B515" s="84"/>
      <c r="E515" s="84"/>
      <c r="G515" s="84"/>
      <c r="H515" s="85"/>
    </row>
    <row r="516">
      <c r="A516" s="84"/>
      <c r="B516" s="84"/>
      <c r="E516" s="84"/>
      <c r="G516" s="84"/>
      <c r="H516" s="85"/>
    </row>
    <row r="517">
      <c r="A517" s="84"/>
      <c r="B517" s="84"/>
      <c r="E517" s="84"/>
      <c r="G517" s="84"/>
      <c r="H517" s="85"/>
    </row>
    <row r="518">
      <c r="A518" s="84"/>
      <c r="B518" s="84"/>
      <c r="E518" s="84"/>
      <c r="G518" s="84"/>
      <c r="H518" s="85"/>
    </row>
    <row r="519">
      <c r="A519" s="84"/>
      <c r="B519" s="84"/>
      <c r="E519" s="84"/>
      <c r="G519" s="84"/>
      <c r="H519" s="85"/>
    </row>
    <row r="520">
      <c r="A520" s="84"/>
      <c r="B520" s="84"/>
      <c r="E520" s="84"/>
      <c r="G520" s="84"/>
      <c r="H520" s="85"/>
    </row>
    <row r="521">
      <c r="A521" s="84"/>
      <c r="B521" s="84"/>
      <c r="E521" s="84"/>
      <c r="G521" s="84"/>
      <c r="H521" s="85"/>
    </row>
    <row r="522">
      <c r="A522" s="84"/>
      <c r="B522" s="84"/>
      <c r="E522" s="84"/>
      <c r="G522" s="84"/>
      <c r="H522" s="85"/>
    </row>
    <row r="523">
      <c r="A523" s="84"/>
      <c r="B523" s="84"/>
      <c r="E523" s="84"/>
      <c r="G523" s="84"/>
      <c r="H523" s="85"/>
    </row>
    <row r="524">
      <c r="A524" s="84"/>
      <c r="B524" s="84"/>
      <c r="E524" s="84"/>
      <c r="G524" s="84"/>
      <c r="H524" s="85"/>
    </row>
    <row r="525">
      <c r="A525" s="84"/>
      <c r="B525" s="84"/>
      <c r="E525" s="84"/>
      <c r="G525" s="84"/>
      <c r="H525" s="85"/>
    </row>
    <row r="526">
      <c r="A526" s="84"/>
      <c r="B526" s="84"/>
      <c r="E526" s="84"/>
      <c r="G526" s="84"/>
      <c r="H526" s="85"/>
    </row>
    <row r="527">
      <c r="A527" s="84"/>
      <c r="B527" s="84"/>
      <c r="E527" s="84"/>
      <c r="G527" s="84"/>
      <c r="H527" s="85"/>
    </row>
    <row r="528">
      <c r="A528" s="84"/>
      <c r="B528" s="84"/>
      <c r="E528" s="84"/>
      <c r="G528" s="84"/>
      <c r="H528" s="85"/>
    </row>
    <row r="529">
      <c r="A529" s="84"/>
      <c r="B529" s="84"/>
      <c r="E529" s="84"/>
      <c r="G529" s="84"/>
      <c r="H529" s="85"/>
    </row>
    <row r="530">
      <c r="A530" s="84"/>
      <c r="B530" s="84"/>
      <c r="E530" s="84"/>
      <c r="G530" s="84"/>
      <c r="H530" s="85"/>
    </row>
    <row r="531">
      <c r="A531" s="84"/>
      <c r="B531" s="84"/>
      <c r="E531" s="84"/>
      <c r="G531" s="84"/>
      <c r="H531" s="85"/>
    </row>
    <row r="532">
      <c r="A532" s="84"/>
      <c r="B532" s="84"/>
      <c r="E532" s="84"/>
      <c r="G532" s="84"/>
      <c r="H532" s="85"/>
    </row>
    <row r="533">
      <c r="A533" s="84"/>
      <c r="B533" s="84"/>
      <c r="E533" s="84"/>
      <c r="G533" s="84"/>
      <c r="H533" s="85"/>
    </row>
    <row r="534">
      <c r="A534" s="84"/>
      <c r="B534" s="84"/>
      <c r="E534" s="84"/>
      <c r="G534" s="84"/>
      <c r="H534" s="85"/>
    </row>
    <row r="535">
      <c r="A535" s="84"/>
      <c r="B535" s="84"/>
      <c r="E535" s="84"/>
      <c r="G535" s="84"/>
      <c r="H535" s="85"/>
    </row>
    <row r="536">
      <c r="A536" s="84"/>
      <c r="B536" s="84"/>
      <c r="E536" s="84"/>
      <c r="G536" s="84"/>
      <c r="H536" s="85"/>
    </row>
    <row r="537">
      <c r="A537" s="84"/>
      <c r="B537" s="84"/>
      <c r="E537" s="84"/>
      <c r="G537" s="84"/>
      <c r="H537" s="85"/>
    </row>
    <row r="538">
      <c r="A538" s="84"/>
      <c r="B538" s="84"/>
      <c r="E538" s="84"/>
      <c r="G538" s="84"/>
      <c r="H538" s="85"/>
    </row>
    <row r="539">
      <c r="A539" s="84"/>
      <c r="B539" s="84"/>
      <c r="E539" s="84"/>
      <c r="G539" s="84"/>
      <c r="H539" s="85"/>
    </row>
    <row r="540">
      <c r="A540" s="84"/>
      <c r="B540" s="84"/>
      <c r="E540" s="84"/>
      <c r="G540" s="84"/>
      <c r="H540" s="85"/>
    </row>
    <row r="541">
      <c r="A541" s="84"/>
      <c r="B541" s="84"/>
      <c r="E541" s="84"/>
      <c r="G541" s="84"/>
      <c r="H541" s="85"/>
    </row>
    <row r="542">
      <c r="A542" s="84"/>
      <c r="B542" s="84"/>
      <c r="E542" s="84"/>
      <c r="G542" s="84"/>
      <c r="H542" s="85"/>
    </row>
    <row r="543">
      <c r="A543" s="84"/>
      <c r="B543" s="84"/>
      <c r="E543" s="84"/>
      <c r="G543" s="84"/>
      <c r="H543" s="85"/>
    </row>
    <row r="544">
      <c r="A544" s="84"/>
      <c r="B544" s="84"/>
      <c r="E544" s="84"/>
      <c r="G544" s="84"/>
      <c r="H544" s="85"/>
    </row>
    <row r="545">
      <c r="A545" s="84"/>
      <c r="B545" s="84"/>
      <c r="E545" s="84"/>
      <c r="G545" s="84"/>
      <c r="H545" s="85"/>
    </row>
    <row r="546">
      <c r="A546" s="84"/>
      <c r="B546" s="84"/>
      <c r="E546" s="84"/>
      <c r="G546" s="84"/>
      <c r="H546" s="85"/>
    </row>
    <row r="547">
      <c r="A547" s="84"/>
      <c r="B547" s="84"/>
      <c r="E547" s="84"/>
      <c r="G547" s="84"/>
      <c r="H547" s="85"/>
    </row>
    <row r="548">
      <c r="A548" s="84"/>
      <c r="B548" s="84"/>
      <c r="E548" s="84"/>
      <c r="G548" s="84"/>
      <c r="H548" s="85"/>
    </row>
    <row r="549">
      <c r="A549" s="84"/>
      <c r="B549" s="84"/>
      <c r="E549" s="84"/>
      <c r="G549" s="84"/>
      <c r="H549" s="85"/>
    </row>
    <row r="550">
      <c r="A550" s="84"/>
      <c r="B550" s="84"/>
      <c r="E550" s="84"/>
      <c r="G550" s="84"/>
      <c r="H550" s="85"/>
    </row>
    <row r="551">
      <c r="A551" s="84"/>
      <c r="B551" s="84"/>
      <c r="E551" s="84"/>
      <c r="G551" s="84"/>
      <c r="H551" s="85"/>
    </row>
    <row r="552">
      <c r="A552" s="84"/>
      <c r="B552" s="84"/>
      <c r="E552" s="84"/>
      <c r="G552" s="84"/>
      <c r="H552" s="85"/>
    </row>
    <row r="553">
      <c r="A553" s="84"/>
      <c r="B553" s="84"/>
      <c r="E553" s="84"/>
      <c r="G553" s="84"/>
      <c r="H553" s="85"/>
    </row>
    <row r="554">
      <c r="A554" s="84"/>
      <c r="B554" s="84"/>
      <c r="E554" s="84"/>
      <c r="G554" s="84"/>
      <c r="H554" s="85"/>
    </row>
    <row r="555">
      <c r="A555" s="84"/>
      <c r="B555" s="84"/>
      <c r="E555" s="84"/>
      <c r="G555" s="84"/>
      <c r="H555" s="85"/>
    </row>
    <row r="556">
      <c r="A556" s="84"/>
      <c r="B556" s="84"/>
      <c r="E556" s="84"/>
      <c r="G556" s="84"/>
      <c r="H556" s="85"/>
    </row>
    <row r="557">
      <c r="A557" s="84"/>
      <c r="B557" s="84"/>
      <c r="E557" s="84"/>
      <c r="G557" s="84"/>
      <c r="H557" s="85"/>
    </row>
    <row r="558">
      <c r="A558" s="84"/>
      <c r="B558" s="84"/>
      <c r="E558" s="84"/>
      <c r="G558" s="84"/>
      <c r="H558" s="85"/>
    </row>
    <row r="559">
      <c r="A559" s="84"/>
      <c r="B559" s="84"/>
      <c r="E559" s="84"/>
      <c r="G559" s="84"/>
      <c r="H559" s="85"/>
    </row>
    <row r="560">
      <c r="A560" s="84"/>
      <c r="B560" s="84"/>
      <c r="E560" s="84"/>
      <c r="G560" s="84"/>
      <c r="H560" s="85"/>
    </row>
    <row r="561">
      <c r="A561" s="84"/>
      <c r="B561" s="84"/>
      <c r="E561" s="84"/>
      <c r="G561" s="84"/>
      <c r="H561" s="85"/>
    </row>
    <row r="562">
      <c r="A562" s="84"/>
      <c r="B562" s="84"/>
      <c r="E562" s="84"/>
      <c r="G562" s="84"/>
      <c r="H562" s="85"/>
    </row>
    <row r="563">
      <c r="A563" s="84"/>
      <c r="B563" s="84"/>
      <c r="E563" s="84"/>
      <c r="G563" s="84"/>
      <c r="H563" s="85"/>
    </row>
    <row r="564">
      <c r="A564" s="84"/>
      <c r="B564" s="84"/>
      <c r="E564" s="84"/>
      <c r="G564" s="84"/>
      <c r="H564" s="85"/>
    </row>
    <row r="565">
      <c r="A565" s="84"/>
      <c r="B565" s="84"/>
      <c r="E565" s="84"/>
      <c r="G565" s="84"/>
      <c r="H565" s="85"/>
    </row>
    <row r="566">
      <c r="A566" s="84"/>
      <c r="B566" s="84"/>
      <c r="E566" s="84"/>
      <c r="G566" s="84"/>
      <c r="H566" s="85"/>
    </row>
    <row r="567">
      <c r="A567" s="84"/>
      <c r="B567" s="84"/>
      <c r="E567" s="84"/>
      <c r="G567" s="84"/>
      <c r="H567" s="85"/>
    </row>
    <row r="568">
      <c r="A568" s="84"/>
      <c r="B568" s="84"/>
      <c r="E568" s="84"/>
      <c r="G568" s="84"/>
      <c r="H568" s="85"/>
    </row>
    <row r="569">
      <c r="A569" s="84"/>
      <c r="B569" s="84"/>
      <c r="E569" s="84"/>
      <c r="G569" s="84"/>
      <c r="H569" s="85"/>
    </row>
    <row r="570">
      <c r="A570" s="84"/>
      <c r="B570" s="84"/>
      <c r="E570" s="84"/>
      <c r="G570" s="84"/>
      <c r="H570" s="85"/>
    </row>
    <row r="571">
      <c r="A571" s="84"/>
      <c r="B571" s="84"/>
      <c r="E571" s="84"/>
      <c r="G571" s="84"/>
      <c r="H571" s="85"/>
    </row>
    <row r="572">
      <c r="A572" s="84"/>
      <c r="B572" s="84"/>
      <c r="E572" s="84"/>
      <c r="G572" s="84"/>
      <c r="H572" s="85"/>
    </row>
    <row r="573">
      <c r="A573" s="84"/>
      <c r="B573" s="84"/>
      <c r="E573" s="84"/>
      <c r="G573" s="84"/>
      <c r="H573" s="85"/>
    </row>
    <row r="574">
      <c r="A574" s="84"/>
      <c r="B574" s="84"/>
      <c r="E574" s="84"/>
      <c r="G574" s="84"/>
      <c r="H574" s="85"/>
    </row>
    <row r="575">
      <c r="A575" s="84"/>
      <c r="B575" s="84"/>
      <c r="E575" s="84"/>
      <c r="G575" s="84"/>
      <c r="H575" s="85"/>
    </row>
    <row r="576">
      <c r="A576" s="84"/>
      <c r="B576" s="84"/>
      <c r="E576" s="84"/>
      <c r="G576" s="84"/>
      <c r="H576" s="85"/>
    </row>
    <row r="577">
      <c r="A577" s="84"/>
      <c r="B577" s="84"/>
      <c r="E577" s="84"/>
      <c r="G577" s="84"/>
      <c r="H577" s="85"/>
    </row>
    <row r="578">
      <c r="A578" s="84"/>
      <c r="B578" s="84"/>
      <c r="E578" s="84"/>
      <c r="G578" s="84"/>
      <c r="H578" s="85"/>
    </row>
    <row r="579">
      <c r="A579" s="84"/>
      <c r="B579" s="84"/>
      <c r="E579" s="84"/>
      <c r="G579" s="84"/>
      <c r="H579" s="85"/>
    </row>
    <row r="580">
      <c r="A580" s="84"/>
      <c r="B580" s="84"/>
      <c r="E580" s="84"/>
      <c r="G580" s="84"/>
      <c r="H580" s="85"/>
    </row>
    <row r="581">
      <c r="A581" s="84"/>
      <c r="B581" s="84"/>
      <c r="E581" s="84"/>
      <c r="G581" s="84"/>
      <c r="H581" s="85"/>
    </row>
    <row r="582">
      <c r="A582" s="84"/>
      <c r="B582" s="84"/>
      <c r="E582" s="84"/>
      <c r="G582" s="84"/>
      <c r="H582" s="85"/>
    </row>
    <row r="583">
      <c r="A583" s="84"/>
      <c r="B583" s="84"/>
      <c r="E583" s="84"/>
      <c r="G583" s="84"/>
      <c r="H583" s="85"/>
    </row>
    <row r="584">
      <c r="A584" s="84"/>
      <c r="B584" s="84"/>
      <c r="E584" s="84"/>
      <c r="G584" s="84"/>
      <c r="H584" s="85"/>
    </row>
    <row r="585">
      <c r="A585" s="84"/>
      <c r="B585" s="84"/>
      <c r="E585" s="84"/>
      <c r="G585" s="84"/>
      <c r="H585" s="85"/>
    </row>
    <row r="586">
      <c r="A586" s="84"/>
      <c r="B586" s="84"/>
      <c r="E586" s="84"/>
      <c r="G586" s="84"/>
      <c r="H586" s="85"/>
    </row>
    <row r="587">
      <c r="A587" s="84"/>
      <c r="B587" s="84"/>
      <c r="E587" s="84"/>
      <c r="G587" s="84"/>
      <c r="H587" s="85"/>
    </row>
    <row r="588">
      <c r="A588" s="84"/>
      <c r="B588" s="84"/>
      <c r="E588" s="84"/>
      <c r="G588" s="84"/>
      <c r="H588" s="85"/>
    </row>
    <row r="589">
      <c r="A589" s="84"/>
      <c r="B589" s="84"/>
      <c r="E589" s="84"/>
      <c r="G589" s="84"/>
      <c r="H589" s="85"/>
    </row>
    <row r="590">
      <c r="A590" s="84"/>
      <c r="B590" s="84"/>
      <c r="E590" s="84"/>
      <c r="G590" s="84"/>
      <c r="H590" s="85"/>
    </row>
    <row r="591">
      <c r="A591" s="84"/>
      <c r="B591" s="84"/>
      <c r="E591" s="84"/>
      <c r="G591" s="84"/>
      <c r="H591" s="85"/>
    </row>
    <row r="592">
      <c r="A592" s="84"/>
      <c r="B592" s="84"/>
      <c r="E592" s="84"/>
      <c r="G592" s="84"/>
      <c r="H592" s="85"/>
    </row>
    <row r="593">
      <c r="A593" s="84"/>
      <c r="B593" s="84"/>
      <c r="E593" s="84"/>
      <c r="G593" s="84"/>
      <c r="H593" s="85"/>
    </row>
    <row r="594">
      <c r="A594" s="84"/>
      <c r="B594" s="84"/>
      <c r="E594" s="84"/>
      <c r="G594" s="84"/>
      <c r="H594" s="85"/>
    </row>
    <row r="595">
      <c r="A595" s="84"/>
      <c r="B595" s="84"/>
      <c r="E595" s="84"/>
      <c r="G595" s="84"/>
      <c r="H595" s="85"/>
    </row>
    <row r="596">
      <c r="A596" s="84"/>
      <c r="B596" s="84"/>
      <c r="E596" s="84"/>
      <c r="G596" s="84"/>
      <c r="H596" s="85"/>
    </row>
    <row r="597">
      <c r="A597" s="84"/>
      <c r="B597" s="84"/>
      <c r="E597" s="84"/>
      <c r="G597" s="84"/>
      <c r="H597" s="85"/>
    </row>
    <row r="598">
      <c r="A598" s="84"/>
      <c r="B598" s="84"/>
      <c r="E598" s="84"/>
      <c r="G598" s="84"/>
      <c r="H598" s="85"/>
    </row>
    <row r="599">
      <c r="A599" s="84"/>
      <c r="B599" s="84"/>
      <c r="E599" s="84"/>
      <c r="G599" s="84"/>
      <c r="H599" s="85"/>
    </row>
    <row r="600">
      <c r="A600" s="84"/>
      <c r="B600" s="84"/>
      <c r="E600" s="84"/>
      <c r="G600" s="84"/>
      <c r="H600" s="85"/>
    </row>
    <row r="601">
      <c r="A601" s="84"/>
      <c r="B601" s="84"/>
      <c r="E601" s="84"/>
      <c r="G601" s="84"/>
      <c r="H601" s="85"/>
    </row>
    <row r="602">
      <c r="A602" s="84"/>
      <c r="B602" s="84"/>
      <c r="E602" s="84"/>
      <c r="G602" s="84"/>
      <c r="H602" s="85"/>
    </row>
    <row r="603">
      <c r="A603" s="84"/>
      <c r="B603" s="84"/>
      <c r="E603" s="84"/>
      <c r="G603" s="84"/>
      <c r="H603" s="85"/>
    </row>
    <row r="604">
      <c r="A604" s="84"/>
      <c r="B604" s="84"/>
      <c r="E604" s="84"/>
      <c r="G604" s="84"/>
      <c r="H604" s="85"/>
    </row>
    <row r="605">
      <c r="A605" s="84"/>
      <c r="B605" s="84"/>
      <c r="E605" s="84"/>
      <c r="G605" s="84"/>
      <c r="H605" s="85"/>
    </row>
    <row r="606">
      <c r="A606" s="84"/>
      <c r="B606" s="84"/>
      <c r="E606" s="84"/>
      <c r="G606" s="84"/>
      <c r="H606" s="85"/>
    </row>
    <row r="607">
      <c r="A607" s="84"/>
      <c r="B607" s="84"/>
      <c r="E607" s="84"/>
      <c r="G607" s="84"/>
      <c r="H607" s="85"/>
    </row>
    <row r="608">
      <c r="A608" s="84"/>
      <c r="B608" s="84"/>
      <c r="E608" s="84"/>
      <c r="G608" s="84"/>
      <c r="H608" s="85"/>
    </row>
    <row r="609">
      <c r="A609" s="84"/>
      <c r="B609" s="84"/>
      <c r="E609" s="84"/>
      <c r="G609" s="84"/>
      <c r="H609" s="85"/>
    </row>
    <row r="610">
      <c r="A610" s="84"/>
      <c r="B610" s="84"/>
      <c r="E610" s="84"/>
      <c r="G610" s="84"/>
      <c r="H610" s="85"/>
    </row>
    <row r="611">
      <c r="A611" s="84"/>
      <c r="B611" s="84"/>
      <c r="E611" s="84"/>
      <c r="G611" s="84"/>
      <c r="H611" s="85"/>
    </row>
    <row r="612">
      <c r="A612" s="84"/>
      <c r="B612" s="84"/>
      <c r="E612" s="84"/>
      <c r="G612" s="84"/>
      <c r="H612" s="85"/>
    </row>
    <row r="613">
      <c r="A613" s="84"/>
      <c r="B613" s="84"/>
      <c r="E613" s="84"/>
      <c r="G613" s="84"/>
      <c r="H613" s="85"/>
    </row>
    <row r="614">
      <c r="A614" s="84"/>
      <c r="B614" s="84"/>
      <c r="E614" s="84"/>
      <c r="G614" s="84"/>
      <c r="H614" s="85"/>
    </row>
    <row r="615">
      <c r="A615" s="84"/>
      <c r="B615" s="84"/>
      <c r="E615" s="84"/>
      <c r="G615" s="84"/>
      <c r="H615" s="85"/>
    </row>
    <row r="616">
      <c r="A616" s="84"/>
      <c r="B616" s="84"/>
      <c r="E616" s="84"/>
      <c r="G616" s="84"/>
      <c r="H616" s="85"/>
    </row>
    <row r="617">
      <c r="A617" s="84"/>
      <c r="B617" s="84"/>
      <c r="E617" s="84"/>
      <c r="G617" s="84"/>
      <c r="H617" s="85"/>
    </row>
    <row r="618">
      <c r="A618" s="84"/>
      <c r="B618" s="84"/>
      <c r="E618" s="84"/>
      <c r="G618" s="84"/>
      <c r="H618" s="85"/>
    </row>
    <row r="619">
      <c r="A619" s="84"/>
      <c r="B619" s="84"/>
      <c r="E619" s="84"/>
      <c r="G619" s="84"/>
      <c r="H619" s="85"/>
    </row>
    <row r="620">
      <c r="A620" s="84"/>
      <c r="B620" s="84"/>
      <c r="E620" s="84"/>
      <c r="G620" s="84"/>
      <c r="H620" s="85"/>
    </row>
    <row r="621">
      <c r="A621" s="84"/>
      <c r="B621" s="84"/>
      <c r="E621" s="84"/>
      <c r="G621" s="84"/>
      <c r="H621" s="85"/>
    </row>
    <row r="622">
      <c r="A622" s="84"/>
      <c r="B622" s="84"/>
      <c r="E622" s="84"/>
      <c r="G622" s="84"/>
      <c r="H622" s="85"/>
    </row>
    <row r="623">
      <c r="A623" s="84"/>
      <c r="B623" s="84"/>
      <c r="E623" s="84"/>
      <c r="G623" s="84"/>
      <c r="H623" s="85"/>
    </row>
    <row r="624">
      <c r="A624" s="84"/>
      <c r="B624" s="84"/>
      <c r="E624" s="84"/>
      <c r="G624" s="84"/>
      <c r="H624" s="85"/>
    </row>
    <row r="625">
      <c r="A625" s="84"/>
      <c r="B625" s="84"/>
      <c r="E625" s="84"/>
      <c r="G625" s="84"/>
      <c r="H625" s="85"/>
    </row>
    <row r="626">
      <c r="A626" s="84"/>
      <c r="B626" s="84"/>
      <c r="E626" s="84"/>
      <c r="G626" s="84"/>
      <c r="H626" s="85"/>
    </row>
    <row r="627">
      <c r="A627" s="84"/>
      <c r="B627" s="84"/>
      <c r="E627" s="84"/>
      <c r="G627" s="84"/>
      <c r="H627" s="85"/>
    </row>
    <row r="628">
      <c r="A628" s="84"/>
      <c r="B628" s="84"/>
      <c r="E628" s="84"/>
      <c r="G628" s="84"/>
      <c r="H628" s="85"/>
    </row>
    <row r="629">
      <c r="A629" s="84"/>
      <c r="B629" s="84"/>
      <c r="E629" s="84"/>
      <c r="G629" s="84"/>
      <c r="H629" s="85"/>
    </row>
    <row r="630">
      <c r="A630" s="84"/>
      <c r="B630" s="84"/>
      <c r="E630" s="84"/>
      <c r="G630" s="84"/>
      <c r="H630" s="85"/>
    </row>
    <row r="631">
      <c r="A631" s="84"/>
      <c r="B631" s="84"/>
      <c r="E631" s="84"/>
      <c r="G631" s="84"/>
      <c r="H631" s="85"/>
    </row>
    <row r="632">
      <c r="A632" s="84"/>
      <c r="B632" s="84"/>
      <c r="E632" s="84"/>
      <c r="G632" s="84"/>
      <c r="H632" s="85"/>
    </row>
    <row r="633">
      <c r="A633" s="84"/>
      <c r="B633" s="84"/>
      <c r="E633" s="84"/>
      <c r="G633" s="84"/>
      <c r="H633" s="85"/>
    </row>
    <row r="634">
      <c r="A634" s="84"/>
      <c r="B634" s="84"/>
      <c r="E634" s="84"/>
      <c r="G634" s="84"/>
      <c r="H634" s="85"/>
    </row>
    <row r="635">
      <c r="A635" s="84"/>
      <c r="B635" s="84"/>
      <c r="E635" s="84"/>
      <c r="G635" s="84"/>
      <c r="H635" s="85"/>
    </row>
    <row r="636">
      <c r="A636" s="84"/>
      <c r="B636" s="84"/>
      <c r="E636" s="84"/>
      <c r="G636" s="84"/>
      <c r="H636" s="85"/>
    </row>
    <row r="637">
      <c r="A637" s="84"/>
      <c r="B637" s="84"/>
      <c r="E637" s="84"/>
      <c r="G637" s="84"/>
      <c r="H637" s="85"/>
    </row>
    <row r="638">
      <c r="A638" s="84"/>
      <c r="B638" s="84"/>
      <c r="E638" s="84"/>
      <c r="G638" s="84"/>
      <c r="H638" s="85"/>
    </row>
    <row r="639">
      <c r="A639" s="84"/>
      <c r="B639" s="84"/>
      <c r="E639" s="84"/>
      <c r="G639" s="84"/>
      <c r="H639" s="85"/>
    </row>
    <row r="640">
      <c r="A640" s="84"/>
      <c r="B640" s="84"/>
      <c r="E640" s="84"/>
      <c r="G640" s="84"/>
      <c r="H640" s="85"/>
    </row>
    <row r="641">
      <c r="A641" s="84"/>
      <c r="B641" s="84"/>
      <c r="E641" s="84"/>
      <c r="G641" s="84"/>
      <c r="H641" s="85"/>
    </row>
    <row r="642">
      <c r="A642" s="84"/>
      <c r="B642" s="84"/>
      <c r="E642" s="84"/>
      <c r="G642" s="84"/>
      <c r="H642" s="85"/>
    </row>
    <row r="643">
      <c r="A643" s="84"/>
      <c r="B643" s="84"/>
      <c r="E643" s="84"/>
      <c r="G643" s="84"/>
      <c r="H643" s="85"/>
    </row>
    <row r="644">
      <c r="A644" s="84"/>
      <c r="B644" s="84"/>
      <c r="E644" s="84"/>
      <c r="G644" s="84"/>
      <c r="H644" s="85"/>
    </row>
    <row r="645">
      <c r="A645" s="84"/>
      <c r="B645" s="84"/>
      <c r="E645" s="84"/>
      <c r="G645" s="84"/>
      <c r="H645" s="85"/>
    </row>
    <row r="646">
      <c r="A646" s="84"/>
      <c r="B646" s="84"/>
      <c r="E646" s="84"/>
      <c r="G646" s="84"/>
      <c r="H646" s="85"/>
    </row>
    <row r="647">
      <c r="A647" s="84"/>
      <c r="B647" s="84"/>
      <c r="E647" s="84"/>
      <c r="G647" s="84"/>
      <c r="H647" s="85"/>
    </row>
    <row r="648">
      <c r="A648" s="84"/>
      <c r="B648" s="84"/>
      <c r="E648" s="84"/>
      <c r="G648" s="84"/>
      <c r="H648" s="85"/>
    </row>
    <row r="649">
      <c r="A649" s="84"/>
      <c r="B649" s="84"/>
      <c r="E649" s="84"/>
      <c r="G649" s="84"/>
      <c r="H649" s="85"/>
    </row>
    <row r="650">
      <c r="A650" s="84"/>
      <c r="B650" s="84"/>
      <c r="E650" s="84"/>
      <c r="G650" s="84"/>
      <c r="H650" s="85"/>
    </row>
    <row r="651">
      <c r="A651" s="84"/>
      <c r="B651" s="84"/>
      <c r="E651" s="84"/>
      <c r="G651" s="84"/>
      <c r="H651" s="85"/>
    </row>
    <row r="652">
      <c r="A652" s="84"/>
      <c r="B652" s="84"/>
      <c r="E652" s="84"/>
      <c r="G652" s="84"/>
      <c r="H652" s="85"/>
    </row>
    <row r="653">
      <c r="A653" s="84"/>
      <c r="B653" s="84"/>
      <c r="E653" s="84"/>
      <c r="G653" s="84"/>
      <c r="H653" s="85"/>
    </row>
    <row r="654">
      <c r="A654" s="84"/>
      <c r="B654" s="84"/>
      <c r="E654" s="84"/>
      <c r="G654" s="84"/>
      <c r="H654" s="85"/>
    </row>
    <row r="655">
      <c r="A655" s="84"/>
      <c r="B655" s="84"/>
      <c r="E655" s="84"/>
      <c r="G655" s="84"/>
      <c r="H655" s="85"/>
    </row>
    <row r="656">
      <c r="A656" s="84"/>
      <c r="B656" s="84"/>
      <c r="E656" s="84"/>
      <c r="G656" s="84"/>
      <c r="H656" s="85"/>
    </row>
    <row r="657">
      <c r="A657" s="84"/>
      <c r="B657" s="84"/>
      <c r="E657" s="84"/>
      <c r="G657" s="84"/>
      <c r="H657" s="85"/>
    </row>
    <row r="658">
      <c r="A658" s="84"/>
      <c r="B658" s="84"/>
      <c r="E658" s="84"/>
      <c r="G658" s="84"/>
      <c r="H658" s="85"/>
    </row>
    <row r="659">
      <c r="A659" s="84"/>
      <c r="B659" s="84"/>
      <c r="E659" s="84"/>
      <c r="G659" s="84"/>
      <c r="H659" s="85"/>
    </row>
    <row r="660">
      <c r="A660" s="84"/>
      <c r="B660" s="84"/>
      <c r="E660" s="84"/>
      <c r="G660" s="84"/>
      <c r="H660" s="85"/>
    </row>
    <row r="661">
      <c r="A661" s="84"/>
      <c r="B661" s="84"/>
      <c r="E661" s="84"/>
      <c r="G661" s="84"/>
      <c r="H661" s="85"/>
    </row>
    <row r="662">
      <c r="A662" s="84"/>
      <c r="B662" s="84"/>
      <c r="E662" s="84"/>
      <c r="G662" s="84"/>
      <c r="H662" s="85"/>
    </row>
    <row r="663">
      <c r="A663" s="84"/>
      <c r="B663" s="84"/>
      <c r="E663" s="84"/>
      <c r="G663" s="84"/>
      <c r="H663" s="85"/>
    </row>
    <row r="664">
      <c r="A664" s="84"/>
      <c r="B664" s="84"/>
      <c r="E664" s="84"/>
      <c r="G664" s="84"/>
      <c r="H664" s="85"/>
    </row>
    <row r="665">
      <c r="A665" s="84"/>
      <c r="B665" s="84"/>
      <c r="E665" s="84"/>
      <c r="G665" s="84"/>
      <c r="H665" s="85"/>
    </row>
    <row r="666">
      <c r="A666" s="84"/>
      <c r="B666" s="84"/>
      <c r="E666" s="84"/>
      <c r="G666" s="84"/>
      <c r="H666" s="85"/>
    </row>
    <row r="667">
      <c r="A667" s="84"/>
      <c r="B667" s="84"/>
      <c r="E667" s="84"/>
      <c r="G667" s="84"/>
      <c r="H667" s="85"/>
    </row>
    <row r="668">
      <c r="A668" s="84"/>
      <c r="B668" s="84"/>
      <c r="E668" s="84"/>
      <c r="G668" s="84"/>
      <c r="H668" s="85"/>
    </row>
    <row r="669">
      <c r="A669" s="84"/>
      <c r="B669" s="84"/>
      <c r="E669" s="84"/>
      <c r="G669" s="84"/>
      <c r="H669" s="85"/>
    </row>
    <row r="670">
      <c r="A670" s="84"/>
      <c r="B670" s="84"/>
      <c r="E670" s="84"/>
      <c r="G670" s="84"/>
      <c r="H670" s="85"/>
    </row>
    <row r="671">
      <c r="A671" s="84"/>
      <c r="B671" s="84"/>
      <c r="E671" s="84"/>
      <c r="G671" s="84"/>
      <c r="H671" s="85"/>
    </row>
    <row r="672">
      <c r="A672" s="84"/>
      <c r="B672" s="84"/>
      <c r="E672" s="84"/>
      <c r="G672" s="84"/>
      <c r="H672" s="85"/>
    </row>
    <row r="673">
      <c r="A673" s="84"/>
      <c r="B673" s="84"/>
      <c r="E673" s="84"/>
      <c r="G673" s="84"/>
      <c r="H673" s="85"/>
    </row>
    <row r="674">
      <c r="A674" s="84"/>
      <c r="B674" s="84"/>
      <c r="E674" s="84"/>
      <c r="G674" s="84"/>
      <c r="H674" s="85"/>
    </row>
    <row r="675">
      <c r="A675" s="84"/>
      <c r="B675" s="84"/>
      <c r="E675" s="84"/>
      <c r="G675" s="84"/>
      <c r="H675" s="85"/>
    </row>
    <row r="676">
      <c r="A676" s="84"/>
      <c r="B676" s="84"/>
      <c r="E676" s="84"/>
      <c r="G676" s="84"/>
      <c r="H676" s="85"/>
    </row>
    <row r="677">
      <c r="A677" s="84"/>
      <c r="B677" s="84"/>
      <c r="E677" s="84"/>
      <c r="G677" s="84"/>
      <c r="H677" s="85"/>
    </row>
    <row r="678">
      <c r="A678" s="84"/>
      <c r="B678" s="84"/>
      <c r="E678" s="84"/>
      <c r="G678" s="84"/>
      <c r="H678" s="85"/>
    </row>
    <row r="679">
      <c r="A679" s="84"/>
      <c r="B679" s="84"/>
      <c r="E679" s="84"/>
      <c r="G679" s="84"/>
      <c r="H679" s="85"/>
    </row>
    <row r="680">
      <c r="A680" s="84"/>
      <c r="B680" s="84"/>
      <c r="E680" s="84"/>
      <c r="G680" s="84"/>
      <c r="H680" s="85"/>
    </row>
    <row r="681">
      <c r="A681" s="84"/>
      <c r="B681" s="84"/>
      <c r="E681" s="84"/>
      <c r="G681" s="84"/>
      <c r="H681" s="85"/>
    </row>
    <row r="682">
      <c r="A682" s="84"/>
      <c r="B682" s="84"/>
      <c r="E682" s="84"/>
      <c r="G682" s="84"/>
      <c r="H682" s="85"/>
    </row>
    <row r="683">
      <c r="A683" s="84"/>
      <c r="B683" s="84"/>
      <c r="E683" s="84"/>
      <c r="G683" s="84"/>
      <c r="H683" s="85"/>
    </row>
    <row r="684">
      <c r="A684" s="84"/>
      <c r="B684" s="84"/>
      <c r="E684" s="84"/>
      <c r="G684" s="84"/>
      <c r="H684" s="85"/>
    </row>
    <row r="685">
      <c r="A685" s="84"/>
      <c r="B685" s="84"/>
      <c r="E685" s="84"/>
      <c r="G685" s="84"/>
      <c r="H685" s="85"/>
    </row>
    <row r="686">
      <c r="A686" s="84"/>
      <c r="B686" s="84"/>
      <c r="E686" s="84"/>
      <c r="G686" s="84"/>
      <c r="H686" s="85"/>
    </row>
    <row r="687">
      <c r="A687" s="84"/>
      <c r="B687" s="84"/>
      <c r="E687" s="84"/>
      <c r="G687" s="84"/>
      <c r="H687" s="85"/>
    </row>
    <row r="688">
      <c r="A688" s="84"/>
      <c r="B688" s="84"/>
      <c r="E688" s="84"/>
      <c r="G688" s="84"/>
      <c r="H688" s="85"/>
    </row>
    <row r="689">
      <c r="A689" s="84"/>
      <c r="B689" s="84"/>
      <c r="E689" s="84"/>
      <c r="G689" s="84"/>
      <c r="H689" s="85"/>
    </row>
    <row r="690">
      <c r="A690" s="84"/>
      <c r="B690" s="84"/>
      <c r="E690" s="84"/>
      <c r="G690" s="84"/>
      <c r="H690" s="85"/>
    </row>
    <row r="691">
      <c r="A691" s="84"/>
      <c r="B691" s="84"/>
      <c r="E691" s="84"/>
      <c r="G691" s="84"/>
      <c r="H691" s="85"/>
    </row>
    <row r="692">
      <c r="A692" s="84"/>
      <c r="B692" s="84"/>
      <c r="E692" s="84"/>
      <c r="G692" s="84"/>
      <c r="H692" s="85"/>
    </row>
    <row r="693">
      <c r="A693" s="84"/>
      <c r="B693" s="84"/>
      <c r="E693" s="84"/>
      <c r="G693" s="84"/>
      <c r="H693" s="85"/>
    </row>
    <row r="694">
      <c r="A694" s="84"/>
      <c r="B694" s="84"/>
      <c r="E694" s="84"/>
      <c r="G694" s="84"/>
      <c r="H694" s="85"/>
    </row>
    <row r="695">
      <c r="A695" s="84"/>
      <c r="B695" s="84"/>
      <c r="E695" s="84"/>
      <c r="G695" s="84"/>
      <c r="H695" s="85"/>
    </row>
    <row r="696">
      <c r="A696" s="84"/>
      <c r="B696" s="84"/>
      <c r="E696" s="84"/>
      <c r="G696" s="84"/>
      <c r="H696" s="85"/>
    </row>
    <row r="697">
      <c r="A697" s="84"/>
      <c r="B697" s="84"/>
      <c r="E697" s="84"/>
      <c r="G697" s="84"/>
      <c r="H697" s="85"/>
    </row>
    <row r="698">
      <c r="A698" s="84"/>
      <c r="B698" s="84"/>
      <c r="E698" s="84"/>
      <c r="G698" s="84"/>
      <c r="H698" s="85"/>
    </row>
    <row r="699">
      <c r="A699" s="84"/>
      <c r="B699" s="84"/>
      <c r="E699" s="84"/>
      <c r="G699" s="84"/>
      <c r="H699" s="85"/>
    </row>
    <row r="700">
      <c r="A700" s="84"/>
      <c r="B700" s="84"/>
      <c r="E700" s="84"/>
      <c r="G700" s="84"/>
      <c r="H700" s="85"/>
    </row>
    <row r="701">
      <c r="A701" s="84"/>
      <c r="B701" s="84"/>
      <c r="E701" s="84"/>
      <c r="G701" s="84"/>
      <c r="H701" s="85"/>
    </row>
    <row r="702">
      <c r="A702" s="84"/>
      <c r="B702" s="84"/>
      <c r="E702" s="84"/>
      <c r="G702" s="84"/>
      <c r="H702" s="85"/>
    </row>
    <row r="703">
      <c r="A703" s="84"/>
      <c r="B703" s="84"/>
      <c r="E703" s="84"/>
      <c r="G703" s="84"/>
      <c r="H703" s="85"/>
    </row>
    <row r="704">
      <c r="A704" s="84"/>
      <c r="B704" s="84"/>
      <c r="E704" s="84"/>
      <c r="G704" s="84"/>
      <c r="H704" s="85"/>
    </row>
    <row r="705">
      <c r="A705" s="84"/>
      <c r="B705" s="84"/>
      <c r="E705" s="84"/>
      <c r="G705" s="84"/>
      <c r="H705" s="85"/>
    </row>
    <row r="706">
      <c r="A706" s="84"/>
      <c r="B706" s="84"/>
      <c r="E706" s="84"/>
      <c r="G706" s="84"/>
      <c r="H706" s="85"/>
    </row>
    <row r="707">
      <c r="A707" s="84"/>
      <c r="B707" s="84"/>
      <c r="E707" s="84"/>
      <c r="G707" s="84"/>
      <c r="H707" s="85"/>
    </row>
    <row r="708">
      <c r="A708" s="84"/>
      <c r="B708" s="84"/>
      <c r="E708" s="84"/>
      <c r="G708" s="84"/>
      <c r="H708" s="85"/>
    </row>
    <row r="709">
      <c r="A709" s="84"/>
      <c r="B709" s="84"/>
      <c r="E709" s="84"/>
      <c r="G709" s="84"/>
      <c r="H709" s="85"/>
    </row>
    <row r="710">
      <c r="A710" s="84"/>
      <c r="B710" s="84"/>
      <c r="E710" s="84"/>
      <c r="G710" s="84"/>
      <c r="H710" s="85"/>
    </row>
    <row r="711">
      <c r="A711" s="84"/>
      <c r="B711" s="84"/>
      <c r="E711" s="84"/>
      <c r="G711" s="84"/>
      <c r="H711" s="85"/>
    </row>
    <row r="712">
      <c r="A712" s="84"/>
      <c r="B712" s="84"/>
      <c r="E712" s="84"/>
      <c r="G712" s="84"/>
      <c r="H712" s="85"/>
    </row>
    <row r="713">
      <c r="A713" s="84"/>
      <c r="B713" s="84"/>
      <c r="E713" s="84"/>
      <c r="G713" s="84"/>
      <c r="H713" s="85"/>
    </row>
    <row r="714">
      <c r="A714" s="84"/>
      <c r="B714" s="84"/>
      <c r="E714" s="84"/>
      <c r="G714" s="84"/>
      <c r="H714" s="85"/>
    </row>
    <row r="715">
      <c r="A715" s="84"/>
      <c r="B715" s="84"/>
      <c r="E715" s="84"/>
      <c r="G715" s="84"/>
      <c r="H715" s="85"/>
    </row>
    <row r="716">
      <c r="A716" s="84"/>
      <c r="B716" s="84"/>
      <c r="E716" s="84"/>
      <c r="G716" s="84"/>
      <c r="H716" s="85"/>
    </row>
    <row r="717">
      <c r="A717" s="84"/>
      <c r="B717" s="84"/>
      <c r="E717" s="84"/>
      <c r="G717" s="84"/>
      <c r="H717" s="85"/>
    </row>
    <row r="718">
      <c r="A718" s="84"/>
      <c r="B718" s="84"/>
      <c r="E718" s="84"/>
      <c r="G718" s="84"/>
      <c r="H718" s="85"/>
    </row>
    <row r="719">
      <c r="A719" s="84"/>
      <c r="B719" s="84"/>
      <c r="E719" s="84"/>
      <c r="G719" s="84"/>
      <c r="H719" s="85"/>
    </row>
    <row r="720">
      <c r="A720" s="84"/>
      <c r="B720" s="84"/>
      <c r="E720" s="84"/>
      <c r="G720" s="84"/>
      <c r="H720" s="85"/>
    </row>
    <row r="721">
      <c r="A721" s="84"/>
      <c r="B721" s="84"/>
      <c r="E721" s="84"/>
      <c r="G721" s="84"/>
      <c r="H721" s="85"/>
    </row>
    <row r="722">
      <c r="A722" s="84"/>
      <c r="B722" s="84"/>
      <c r="E722" s="84"/>
      <c r="G722" s="84"/>
      <c r="H722" s="85"/>
    </row>
    <row r="723">
      <c r="A723" s="84"/>
      <c r="B723" s="84"/>
      <c r="E723" s="84"/>
      <c r="G723" s="84"/>
      <c r="H723" s="85"/>
    </row>
    <row r="724">
      <c r="A724" s="84"/>
      <c r="B724" s="84"/>
      <c r="E724" s="84"/>
      <c r="G724" s="84"/>
      <c r="H724" s="85"/>
    </row>
    <row r="725">
      <c r="A725" s="84"/>
      <c r="B725" s="84"/>
      <c r="E725" s="84"/>
      <c r="G725" s="84"/>
      <c r="H725" s="85"/>
    </row>
    <row r="726">
      <c r="A726" s="84"/>
      <c r="B726" s="84"/>
      <c r="E726" s="84"/>
      <c r="G726" s="84"/>
      <c r="H726" s="85"/>
    </row>
    <row r="727">
      <c r="A727" s="84"/>
      <c r="B727" s="84"/>
      <c r="E727" s="84"/>
      <c r="G727" s="84"/>
      <c r="H727" s="85"/>
    </row>
    <row r="728">
      <c r="A728" s="84"/>
      <c r="B728" s="84"/>
      <c r="E728" s="84"/>
      <c r="G728" s="84"/>
      <c r="H728" s="85"/>
    </row>
    <row r="729">
      <c r="A729" s="84"/>
      <c r="B729" s="84"/>
      <c r="E729" s="84"/>
      <c r="G729" s="84"/>
      <c r="H729" s="85"/>
    </row>
    <row r="730">
      <c r="A730" s="84"/>
      <c r="B730" s="84"/>
      <c r="E730" s="84"/>
      <c r="G730" s="84"/>
      <c r="H730" s="85"/>
    </row>
    <row r="731">
      <c r="A731" s="84"/>
      <c r="B731" s="84"/>
      <c r="E731" s="84"/>
      <c r="G731" s="84"/>
      <c r="H731" s="85"/>
    </row>
    <row r="732">
      <c r="A732" s="84"/>
      <c r="B732" s="84"/>
      <c r="E732" s="84"/>
      <c r="G732" s="84"/>
      <c r="H732" s="85"/>
    </row>
    <row r="733">
      <c r="A733" s="84"/>
      <c r="B733" s="84"/>
      <c r="E733" s="84"/>
      <c r="G733" s="84"/>
      <c r="H733" s="85"/>
    </row>
    <row r="734">
      <c r="A734" s="84"/>
      <c r="B734" s="84"/>
      <c r="E734" s="84"/>
      <c r="G734" s="84"/>
      <c r="H734" s="85"/>
    </row>
    <row r="735">
      <c r="A735" s="84"/>
      <c r="B735" s="84"/>
      <c r="E735" s="84"/>
      <c r="G735" s="84"/>
      <c r="H735" s="85"/>
    </row>
    <row r="736">
      <c r="A736" s="84"/>
      <c r="B736" s="84"/>
      <c r="E736" s="84"/>
      <c r="G736" s="84"/>
      <c r="H736" s="85"/>
    </row>
    <row r="737">
      <c r="A737" s="84"/>
      <c r="B737" s="84"/>
      <c r="E737" s="84"/>
      <c r="G737" s="84"/>
      <c r="H737" s="85"/>
    </row>
    <row r="738">
      <c r="A738" s="84"/>
      <c r="B738" s="84"/>
      <c r="E738" s="84"/>
      <c r="G738" s="84"/>
      <c r="H738" s="85"/>
    </row>
    <row r="739">
      <c r="A739" s="84"/>
      <c r="B739" s="84"/>
      <c r="E739" s="84"/>
      <c r="G739" s="84"/>
      <c r="H739" s="85"/>
    </row>
    <row r="740">
      <c r="A740" s="84"/>
      <c r="B740" s="84"/>
      <c r="E740" s="84"/>
      <c r="G740" s="84"/>
      <c r="H740" s="85"/>
    </row>
    <row r="741">
      <c r="A741" s="84"/>
      <c r="B741" s="84"/>
      <c r="E741" s="84"/>
      <c r="G741" s="84"/>
      <c r="H741" s="85"/>
    </row>
    <row r="742">
      <c r="A742" s="84"/>
      <c r="B742" s="84"/>
      <c r="E742" s="84"/>
      <c r="G742" s="84"/>
      <c r="H742" s="85"/>
    </row>
    <row r="743">
      <c r="A743" s="84"/>
      <c r="B743" s="84"/>
      <c r="E743" s="84"/>
      <c r="G743" s="84"/>
      <c r="H743" s="85"/>
    </row>
    <row r="744">
      <c r="A744" s="84"/>
      <c r="B744" s="84"/>
      <c r="E744" s="84"/>
      <c r="G744" s="84"/>
      <c r="H744" s="85"/>
    </row>
    <row r="745">
      <c r="A745" s="84"/>
      <c r="B745" s="84"/>
      <c r="E745" s="84"/>
      <c r="G745" s="84"/>
      <c r="H745" s="85"/>
    </row>
    <row r="746">
      <c r="A746" s="84"/>
      <c r="B746" s="84"/>
      <c r="E746" s="84"/>
      <c r="G746" s="84"/>
      <c r="H746" s="85"/>
    </row>
    <row r="747">
      <c r="A747" s="84"/>
      <c r="B747" s="84"/>
      <c r="E747" s="84"/>
      <c r="G747" s="84"/>
      <c r="H747" s="85"/>
    </row>
    <row r="748">
      <c r="A748" s="84"/>
      <c r="B748" s="84"/>
      <c r="E748" s="84"/>
      <c r="G748" s="84"/>
      <c r="H748" s="85"/>
    </row>
    <row r="749">
      <c r="A749" s="84"/>
      <c r="B749" s="84"/>
      <c r="E749" s="84"/>
      <c r="G749" s="84"/>
      <c r="H749" s="85"/>
    </row>
    <row r="750">
      <c r="A750" s="84"/>
      <c r="B750" s="84"/>
      <c r="E750" s="84"/>
      <c r="G750" s="84"/>
      <c r="H750" s="85"/>
    </row>
    <row r="751">
      <c r="A751" s="84"/>
      <c r="B751" s="84"/>
      <c r="E751" s="84"/>
      <c r="G751" s="84"/>
      <c r="H751" s="85"/>
    </row>
    <row r="752">
      <c r="A752" s="84"/>
      <c r="B752" s="84"/>
      <c r="E752" s="84"/>
      <c r="G752" s="84"/>
      <c r="H752" s="85"/>
    </row>
    <row r="753">
      <c r="A753" s="84"/>
      <c r="B753" s="84"/>
      <c r="E753" s="84"/>
      <c r="G753" s="84"/>
      <c r="H753" s="85"/>
    </row>
    <row r="754">
      <c r="A754" s="84"/>
      <c r="B754" s="84"/>
      <c r="E754" s="84"/>
      <c r="G754" s="84"/>
      <c r="H754" s="85"/>
    </row>
    <row r="755">
      <c r="A755" s="84"/>
      <c r="B755" s="84"/>
      <c r="E755" s="84"/>
      <c r="G755" s="84"/>
      <c r="H755" s="85"/>
    </row>
    <row r="756">
      <c r="A756" s="84"/>
      <c r="B756" s="84"/>
      <c r="E756" s="84"/>
      <c r="G756" s="84"/>
      <c r="H756" s="85"/>
    </row>
    <row r="757">
      <c r="A757" s="84"/>
      <c r="B757" s="84"/>
      <c r="E757" s="84"/>
      <c r="G757" s="84"/>
      <c r="H757" s="85"/>
    </row>
    <row r="758">
      <c r="A758" s="84"/>
      <c r="B758" s="84"/>
      <c r="E758" s="84"/>
      <c r="G758" s="84"/>
      <c r="H758" s="85"/>
    </row>
    <row r="759">
      <c r="A759" s="84"/>
      <c r="B759" s="84"/>
      <c r="E759" s="84"/>
      <c r="G759" s="84"/>
      <c r="H759" s="85"/>
    </row>
    <row r="760">
      <c r="A760" s="84"/>
      <c r="B760" s="84"/>
      <c r="E760" s="84"/>
      <c r="G760" s="84"/>
      <c r="H760" s="85"/>
    </row>
    <row r="761">
      <c r="A761" s="84"/>
      <c r="B761" s="84"/>
      <c r="E761" s="84"/>
      <c r="G761" s="84"/>
      <c r="H761" s="85"/>
    </row>
    <row r="762">
      <c r="A762" s="84"/>
      <c r="B762" s="84"/>
      <c r="E762" s="84"/>
      <c r="G762" s="84"/>
      <c r="H762" s="85"/>
    </row>
    <row r="763">
      <c r="A763" s="84"/>
      <c r="B763" s="84"/>
      <c r="E763" s="84"/>
      <c r="G763" s="84"/>
      <c r="H763" s="85"/>
    </row>
    <row r="764">
      <c r="A764" s="84"/>
      <c r="B764" s="84"/>
      <c r="E764" s="84"/>
      <c r="G764" s="84"/>
      <c r="H764" s="85"/>
    </row>
    <row r="765">
      <c r="A765" s="84"/>
      <c r="B765" s="84"/>
      <c r="E765" s="84"/>
      <c r="G765" s="84"/>
      <c r="H765" s="85"/>
    </row>
    <row r="766">
      <c r="A766" s="84"/>
      <c r="B766" s="84"/>
      <c r="E766" s="84"/>
      <c r="G766" s="84"/>
      <c r="H766" s="85"/>
    </row>
    <row r="767">
      <c r="A767" s="84"/>
      <c r="B767" s="84"/>
      <c r="E767" s="84"/>
      <c r="G767" s="84"/>
      <c r="H767" s="85"/>
    </row>
    <row r="768">
      <c r="A768" s="84"/>
      <c r="B768" s="84"/>
      <c r="E768" s="84"/>
      <c r="G768" s="84"/>
      <c r="H768" s="85"/>
    </row>
    <row r="769">
      <c r="A769" s="84"/>
      <c r="B769" s="84"/>
      <c r="E769" s="84"/>
      <c r="G769" s="84"/>
      <c r="H769" s="85"/>
    </row>
    <row r="770">
      <c r="A770" s="84"/>
      <c r="B770" s="84"/>
      <c r="E770" s="84"/>
      <c r="G770" s="84"/>
      <c r="H770" s="85"/>
    </row>
    <row r="771">
      <c r="A771" s="84"/>
      <c r="B771" s="84"/>
      <c r="E771" s="84"/>
      <c r="G771" s="84"/>
      <c r="H771" s="85"/>
    </row>
    <row r="772">
      <c r="A772" s="84"/>
      <c r="B772" s="84"/>
      <c r="E772" s="84"/>
      <c r="G772" s="84"/>
      <c r="H772" s="85"/>
    </row>
    <row r="773">
      <c r="A773" s="84"/>
      <c r="B773" s="84"/>
      <c r="E773" s="84"/>
      <c r="G773" s="84"/>
      <c r="H773" s="85"/>
    </row>
    <row r="774">
      <c r="A774" s="84"/>
      <c r="B774" s="84"/>
      <c r="E774" s="84"/>
      <c r="G774" s="84"/>
      <c r="H774" s="85"/>
    </row>
    <row r="775">
      <c r="A775" s="84"/>
      <c r="B775" s="84"/>
      <c r="E775" s="84"/>
      <c r="G775" s="84"/>
      <c r="H775" s="85"/>
    </row>
    <row r="776">
      <c r="A776" s="84"/>
      <c r="B776" s="84"/>
      <c r="E776" s="84"/>
      <c r="G776" s="84"/>
      <c r="H776" s="85"/>
    </row>
    <row r="777">
      <c r="A777" s="84"/>
      <c r="B777" s="84"/>
      <c r="E777" s="84"/>
      <c r="G777" s="84"/>
      <c r="H777" s="85"/>
    </row>
    <row r="778">
      <c r="A778" s="84"/>
      <c r="B778" s="84"/>
      <c r="E778" s="84"/>
      <c r="G778" s="84"/>
      <c r="H778" s="85"/>
    </row>
    <row r="779">
      <c r="A779" s="84"/>
      <c r="B779" s="84"/>
      <c r="E779" s="84"/>
      <c r="G779" s="84"/>
      <c r="H779" s="85"/>
    </row>
    <row r="780">
      <c r="A780" s="84"/>
      <c r="B780" s="84"/>
      <c r="E780" s="84"/>
      <c r="G780" s="84"/>
      <c r="H780" s="85"/>
    </row>
    <row r="781">
      <c r="A781" s="84"/>
      <c r="B781" s="84"/>
      <c r="E781" s="84"/>
      <c r="G781" s="84"/>
      <c r="H781" s="85"/>
    </row>
    <row r="782">
      <c r="A782" s="84"/>
      <c r="B782" s="84"/>
      <c r="E782" s="84"/>
      <c r="G782" s="84"/>
      <c r="H782" s="85"/>
    </row>
    <row r="783">
      <c r="A783" s="84"/>
      <c r="B783" s="84"/>
      <c r="E783" s="84"/>
      <c r="G783" s="84"/>
      <c r="H783" s="85"/>
    </row>
    <row r="784">
      <c r="A784" s="84"/>
      <c r="B784" s="84"/>
      <c r="E784" s="84"/>
      <c r="G784" s="84"/>
      <c r="H784" s="85"/>
    </row>
    <row r="785">
      <c r="A785" s="84"/>
      <c r="B785" s="84"/>
      <c r="E785" s="84"/>
      <c r="G785" s="84"/>
      <c r="H785" s="85"/>
    </row>
    <row r="786">
      <c r="A786" s="84"/>
      <c r="B786" s="84"/>
      <c r="E786" s="84"/>
      <c r="G786" s="84"/>
      <c r="H786" s="85"/>
    </row>
    <row r="787">
      <c r="A787" s="84"/>
      <c r="B787" s="84"/>
      <c r="E787" s="84"/>
      <c r="G787" s="84"/>
      <c r="H787" s="85"/>
    </row>
    <row r="788">
      <c r="A788" s="84"/>
      <c r="B788" s="84"/>
      <c r="E788" s="84"/>
      <c r="G788" s="84"/>
      <c r="H788" s="85"/>
    </row>
    <row r="789">
      <c r="A789" s="84"/>
      <c r="B789" s="84"/>
      <c r="E789" s="84"/>
      <c r="G789" s="84"/>
      <c r="H789" s="85"/>
    </row>
    <row r="790">
      <c r="A790" s="84"/>
      <c r="B790" s="84"/>
      <c r="E790" s="84"/>
      <c r="G790" s="84"/>
      <c r="H790" s="85"/>
    </row>
    <row r="791">
      <c r="A791" s="84"/>
      <c r="B791" s="84"/>
      <c r="E791" s="84"/>
      <c r="G791" s="84"/>
      <c r="H791" s="85"/>
    </row>
    <row r="792">
      <c r="A792" s="84"/>
      <c r="B792" s="84"/>
      <c r="E792" s="84"/>
      <c r="G792" s="84"/>
      <c r="H792" s="85"/>
    </row>
    <row r="793">
      <c r="A793" s="84"/>
      <c r="B793" s="84"/>
      <c r="E793" s="84"/>
      <c r="G793" s="84"/>
      <c r="H793" s="85"/>
    </row>
    <row r="794">
      <c r="A794" s="84"/>
      <c r="B794" s="84"/>
      <c r="E794" s="84"/>
      <c r="G794" s="84"/>
      <c r="H794" s="85"/>
    </row>
    <row r="795">
      <c r="A795" s="84"/>
      <c r="B795" s="84"/>
      <c r="E795" s="84"/>
      <c r="G795" s="84"/>
      <c r="H795" s="85"/>
    </row>
    <row r="796">
      <c r="A796" s="84"/>
      <c r="B796" s="84"/>
      <c r="E796" s="84"/>
      <c r="G796" s="84"/>
      <c r="H796" s="85"/>
    </row>
    <row r="797">
      <c r="A797" s="84"/>
      <c r="B797" s="84"/>
      <c r="E797" s="84"/>
      <c r="G797" s="84"/>
      <c r="H797" s="85"/>
    </row>
    <row r="798">
      <c r="A798" s="84"/>
      <c r="B798" s="84"/>
      <c r="E798" s="84"/>
      <c r="G798" s="84"/>
      <c r="H798" s="85"/>
    </row>
    <row r="799">
      <c r="A799" s="84"/>
      <c r="B799" s="84"/>
      <c r="E799" s="84"/>
      <c r="G799" s="84"/>
      <c r="H799" s="85"/>
    </row>
    <row r="800">
      <c r="A800" s="84"/>
      <c r="B800" s="84"/>
      <c r="E800" s="84"/>
      <c r="G800" s="84"/>
      <c r="H800" s="85"/>
    </row>
    <row r="801">
      <c r="A801" s="84"/>
      <c r="B801" s="84"/>
      <c r="E801" s="84"/>
      <c r="G801" s="84"/>
      <c r="H801" s="85"/>
    </row>
    <row r="802">
      <c r="A802" s="84"/>
      <c r="B802" s="84"/>
      <c r="E802" s="84"/>
      <c r="G802" s="84"/>
      <c r="H802" s="85"/>
    </row>
    <row r="803">
      <c r="A803" s="84"/>
      <c r="B803" s="84"/>
      <c r="E803" s="84"/>
      <c r="G803" s="84"/>
      <c r="H803" s="85"/>
    </row>
    <row r="804">
      <c r="A804" s="84"/>
      <c r="B804" s="84"/>
      <c r="E804" s="84"/>
      <c r="G804" s="84"/>
      <c r="H804" s="85"/>
    </row>
    <row r="805">
      <c r="A805" s="84"/>
      <c r="B805" s="84"/>
      <c r="E805" s="84"/>
      <c r="G805" s="84"/>
      <c r="H805" s="85"/>
    </row>
    <row r="806">
      <c r="A806" s="84"/>
      <c r="B806" s="84"/>
      <c r="E806" s="84"/>
      <c r="G806" s="84"/>
      <c r="H806" s="85"/>
    </row>
    <row r="807">
      <c r="A807" s="84"/>
      <c r="B807" s="84"/>
      <c r="E807" s="84"/>
      <c r="G807" s="84"/>
      <c r="H807" s="85"/>
    </row>
    <row r="808">
      <c r="A808" s="84"/>
      <c r="B808" s="84"/>
      <c r="E808" s="84"/>
      <c r="G808" s="84"/>
      <c r="H808" s="85"/>
    </row>
    <row r="809">
      <c r="A809" s="84"/>
      <c r="B809" s="84"/>
      <c r="E809" s="84"/>
      <c r="G809" s="84"/>
      <c r="H809" s="85"/>
    </row>
    <row r="810">
      <c r="A810" s="84"/>
      <c r="B810" s="84"/>
      <c r="E810" s="84"/>
      <c r="G810" s="84"/>
      <c r="H810" s="85"/>
    </row>
    <row r="811">
      <c r="A811" s="84"/>
      <c r="B811" s="84"/>
      <c r="E811" s="84"/>
      <c r="G811" s="84"/>
      <c r="H811" s="85"/>
    </row>
    <row r="812">
      <c r="A812" s="84"/>
      <c r="B812" s="84"/>
      <c r="E812" s="84"/>
      <c r="G812" s="84"/>
      <c r="H812" s="85"/>
    </row>
    <row r="813">
      <c r="A813" s="84"/>
      <c r="B813" s="84"/>
      <c r="E813" s="84"/>
      <c r="G813" s="84"/>
      <c r="H813" s="85"/>
    </row>
    <row r="814">
      <c r="A814" s="84"/>
      <c r="B814" s="84"/>
      <c r="E814" s="84"/>
      <c r="G814" s="84"/>
      <c r="H814" s="85"/>
    </row>
    <row r="815">
      <c r="A815" s="84"/>
      <c r="B815" s="84"/>
      <c r="E815" s="84"/>
      <c r="G815" s="84"/>
      <c r="H815" s="85"/>
    </row>
    <row r="816">
      <c r="A816" s="84"/>
      <c r="B816" s="84"/>
      <c r="E816" s="84"/>
      <c r="G816" s="84"/>
      <c r="H816" s="85"/>
    </row>
    <row r="817">
      <c r="A817" s="84"/>
      <c r="B817" s="84"/>
      <c r="E817" s="84"/>
      <c r="G817" s="84"/>
      <c r="H817" s="85"/>
    </row>
    <row r="818">
      <c r="A818" s="84"/>
      <c r="B818" s="84"/>
      <c r="E818" s="84"/>
      <c r="G818" s="84"/>
      <c r="H818" s="85"/>
    </row>
    <row r="819">
      <c r="A819" s="84"/>
      <c r="B819" s="84"/>
      <c r="E819" s="84"/>
      <c r="G819" s="84"/>
      <c r="H819" s="85"/>
    </row>
    <row r="820">
      <c r="A820" s="84"/>
      <c r="B820" s="84"/>
      <c r="E820" s="84"/>
      <c r="G820" s="84"/>
      <c r="H820" s="85"/>
    </row>
    <row r="821">
      <c r="A821" s="84"/>
      <c r="B821" s="84"/>
      <c r="E821" s="84"/>
      <c r="G821" s="84"/>
      <c r="H821" s="85"/>
    </row>
    <row r="822">
      <c r="A822" s="84"/>
      <c r="B822" s="84"/>
      <c r="E822" s="84"/>
      <c r="G822" s="84"/>
      <c r="H822" s="85"/>
    </row>
    <row r="823">
      <c r="A823" s="84"/>
      <c r="B823" s="84"/>
      <c r="E823" s="84"/>
      <c r="G823" s="84"/>
      <c r="H823" s="85"/>
    </row>
    <row r="824">
      <c r="A824" s="84"/>
      <c r="B824" s="84"/>
      <c r="E824" s="84"/>
      <c r="G824" s="84"/>
      <c r="H824" s="85"/>
    </row>
    <row r="825">
      <c r="A825" s="84"/>
      <c r="B825" s="84"/>
      <c r="E825" s="84"/>
      <c r="G825" s="84"/>
      <c r="H825" s="85"/>
    </row>
    <row r="826">
      <c r="A826" s="84"/>
      <c r="B826" s="84"/>
      <c r="E826" s="84"/>
      <c r="G826" s="84"/>
      <c r="H826" s="85"/>
    </row>
    <row r="827">
      <c r="A827" s="84"/>
      <c r="B827" s="84"/>
      <c r="E827" s="84"/>
      <c r="G827" s="84"/>
      <c r="H827" s="85"/>
    </row>
    <row r="828">
      <c r="A828" s="84"/>
      <c r="B828" s="84"/>
      <c r="E828" s="84"/>
      <c r="G828" s="84"/>
      <c r="H828" s="85"/>
    </row>
    <row r="829">
      <c r="A829" s="84"/>
      <c r="B829" s="84"/>
      <c r="E829" s="84"/>
      <c r="G829" s="84"/>
      <c r="H829" s="85"/>
    </row>
    <row r="830">
      <c r="A830" s="84"/>
      <c r="B830" s="84"/>
      <c r="E830" s="84"/>
      <c r="G830" s="84"/>
      <c r="H830" s="85"/>
    </row>
    <row r="831">
      <c r="A831" s="84"/>
      <c r="B831" s="84"/>
      <c r="E831" s="84"/>
      <c r="G831" s="84"/>
      <c r="H831" s="85"/>
    </row>
    <row r="832">
      <c r="A832" s="84"/>
      <c r="B832" s="84"/>
      <c r="E832" s="84"/>
      <c r="G832" s="84"/>
      <c r="H832" s="85"/>
    </row>
    <row r="833">
      <c r="A833" s="84"/>
      <c r="B833" s="84"/>
      <c r="E833" s="84"/>
      <c r="G833" s="84"/>
      <c r="H833" s="85"/>
    </row>
    <row r="834">
      <c r="A834" s="84"/>
      <c r="B834" s="84"/>
      <c r="E834" s="84"/>
      <c r="G834" s="84"/>
      <c r="H834" s="85"/>
    </row>
    <row r="835">
      <c r="A835" s="84"/>
      <c r="B835" s="84"/>
      <c r="E835" s="84"/>
      <c r="G835" s="84"/>
      <c r="H835" s="85"/>
    </row>
    <row r="836">
      <c r="A836" s="84"/>
      <c r="B836" s="84"/>
      <c r="E836" s="84"/>
      <c r="G836" s="84"/>
      <c r="H836" s="85"/>
    </row>
    <row r="837">
      <c r="A837" s="84"/>
      <c r="B837" s="84"/>
      <c r="E837" s="84"/>
      <c r="G837" s="84"/>
      <c r="H837" s="85"/>
    </row>
    <row r="838">
      <c r="A838" s="84"/>
      <c r="B838" s="84"/>
      <c r="E838" s="84"/>
      <c r="G838" s="84"/>
      <c r="H838" s="85"/>
    </row>
    <row r="839">
      <c r="A839" s="84"/>
      <c r="B839" s="84"/>
      <c r="E839" s="84"/>
      <c r="G839" s="84"/>
      <c r="H839" s="85"/>
    </row>
    <row r="840">
      <c r="A840" s="84"/>
      <c r="B840" s="84"/>
      <c r="E840" s="84"/>
      <c r="G840" s="84"/>
      <c r="H840" s="85"/>
    </row>
    <row r="841">
      <c r="A841" s="84"/>
      <c r="B841" s="84"/>
      <c r="E841" s="84"/>
      <c r="G841" s="84"/>
      <c r="H841" s="85"/>
    </row>
    <row r="842">
      <c r="A842" s="84"/>
      <c r="B842" s="84"/>
      <c r="E842" s="84"/>
      <c r="G842" s="84"/>
      <c r="H842" s="85"/>
    </row>
    <row r="843">
      <c r="A843" s="84"/>
      <c r="B843" s="84"/>
      <c r="E843" s="84"/>
      <c r="G843" s="84"/>
      <c r="H843" s="85"/>
    </row>
    <row r="844">
      <c r="A844" s="84"/>
      <c r="B844" s="84"/>
      <c r="E844" s="84"/>
      <c r="G844" s="84"/>
      <c r="H844" s="85"/>
    </row>
    <row r="845">
      <c r="A845" s="84"/>
      <c r="B845" s="84"/>
      <c r="E845" s="84"/>
      <c r="G845" s="84"/>
      <c r="H845" s="85"/>
    </row>
    <row r="846">
      <c r="A846" s="84"/>
      <c r="B846" s="84"/>
      <c r="E846" s="84"/>
      <c r="G846" s="84"/>
      <c r="H846" s="85"/>
    </row>
    <row r="847">
      <c r="A847" s="84"/>
      <c r="B847" s="84"/>
      <c r="E847" s="84"/>
      <c r="G847" s="84"/>
      <c r="H847" s="85"/>
    </row>
    <row r="848">
      <c r="A848" s="84"/>
      <c r="B848" s="84"/>
      <c r="E848" s="84"/>
      <c r="G848" s="84"/>
      <c r="H848" s="85"/>
    </row>
    <row r="849">
      <c r="A849" s="84"/>
      <c r="B849" s="84"/>
      <c r="E849" s="84"/>
      <c r="G849" s="84"/>
      <c r="H849" s="85"/>
    </row>
    <row r="850">
      <c r="A850" s="84"/>
      <c r="B850" s="84"/>
      <c r="E850" s="84"/>
      <c r="G850" s="84"/>
      <c r="H850" s="85"/>
    </row>
    <row r="851">
      <c r="A851" s="84"/>
      <c r="B851" s="84"/>
      <c r="E851" s="84"/>
      <c r="G851" s="84"/>
      <c r="H851" s="85"/>
    </row>
    <row r="852">
      <c r="A852" s="84"/>
      <c r="B852" s="84"/>
      <c r="E852" s="84"/>
      <c r="G852" s="84"/>
      <c r="H852" s="85"/>
    </row>
    <row r="853">
      <c r="A853" s="84"/>
      <c r="B853" s="84"/>
      <c r="E853" s="84"/>
      <c r="G853" s="84"/>
      <c r="H853" s="85"/>
    </row>
    <row r="854">
      <c r="A854" s="84"/>
      <c r="B854" s="84"/>
      <c r="E854" s="84"/>
      <c r="G854" s="84"/>
      <c r="H854" s="85"/>
    </row>
    <row r="855">
      <c r="A855" s="84"/>
      <c r="B855" s="84"/>
      <c r="E855" s="84"/>
      <c r="G855" s="84"/>
      <c r="H855" s="85"/>
    </row>
    <row r="856">
      <c r="A856" s="84"/>
      <c r="B856" s="84"/>
      <c r="E856" s="84"/>
      <c r="G856" s="84"/>
      <c r="H856" s="85"/>
    </row>
    <row r="857">
      <c r="A857" s="84"/>
      <c r="B857" s="84"/>
      <c r="E857" s="84"/>
      <c r="G857" s="84"/>
      <c r="H857" s="85"/>
    </row>
    <row r="858">
      <c r="A858" s="84"/>
      <c r="B858" s="84"/>
      <c r="E858" s="84"/>
      <c r="G858" s="84"/>
      <c r="H858" s="85"/>
    </row>
    <row r="859">
      <c r="A859" s="84"/>
      <c r="B859" s="84"/>
      <c r="E859" s="84"/>
      <c r="G859" s="84"/>
      <c r="H859" s="85"/>
    </row>
    <row r="860">
      <c r="A860" s="84"/>
      <c r="B860" s="84"/>
      <c r="E860" s="84"/>
      <c r="G860" s="84"/>
      <c r="H860" s="85"/>
    </row>
    <row r="861">
      <c r="A861" s="84"/>
      <c r="B861" s="84"/>
      <c r="E861" s="84"/>
      <c r="G861" s="84"/>
      <c r="H861" s="85"/>
    </row>
    <row r="862">
      <c r="A862" s="84"/>
      <c r="B862" s="84"/>
      <c r="E862" s="84"/>
      <c r="G862" s="84"/>
      <c r="H862" s="85"/>
    </row>
    <row r="863">
      <c r="A863" s="84"/>
      <c r="B863" s="84"/>
      <c r="E863" s="84"/>
      <c r="G863" s="84"/>
      <c r="H863" s="85"/>
    </row>
    <row r="864">
      <c r="A864" s="84"/>
      <c r="B864" s="84"/>
      <c r="E864" s="84"/>
      <c r="G864" s="84"/>
      <c r="H864" s="85"/>
    </row>
    <row r="865">
      <c r="A865" s="84"/>
      <c r="B865" s="84"/>
      <c r="E865" s="84"/>
      <c r="G865" s="84"/>
      <c r="H865" s="85"/>
    </row>
    <row r="866">
      <c r="A866" s="84"/>
      <c r="B866" s="84"/>
      <c r="E866" s="84"/>
      <c r="G866" s="84"/>
      <c r="H866" s="85"/>
    </row>
    <row r="867">
      <c r="A867" s="84"/>
      <c r="B867" s="84"/>
      <c r="E867" s="84"/>
      <c r="G867" s="84"/>
      <c r="H867" s="85"/>
    </row>
    <row r="868">
      <c r="A868" s="84"/>
      <c r="B868" s="84"/>
      <c r="E868" s="84"/>
      <c r="G868" s="84"/>
      <c r="H868" s="85"/>
    </row>
    <row r="869">
      <c r="A869" s="84"/>
      <c r="B869" s="84"/>
      <c r="E869" s="84"/>
      <c r="G869" s="84"/>
      <c r="H869" s="85"/>
    </row>
    <row r="870">
      <c r="A870" s="84"/>
      <c r="B870" s="84"/>
      <c r="E870" s="84"/>
      <c r="G870" s="84"/>
      <c r="H870" s="85"/>
    </row>
    <row r="871">
      <c r="A871" s="84"/>
      <c r="B871" s="84"/>
      <c r="E871" s="84"/>
      <c r="G871" s="84"/>
      <c r="H871" s="85"/>
    </row>
    <row r="872">
      <c r="A872" s="84"/>
      <c r="B872" s="84"/>
      <c r="E872" s="84"/>
      <c r="G872" s="84"/>
      <c r="H872" s="85"/>
    </row>
    <row r="873">
      <c r="A873" s="84"/>
      <c r="B873" s="84"/>
      <c r="E873" s="84"/>
      <c r="G873" s="84"/>
      <c r="H873" s="85"/>
    </row>
    <row r="874">
      <c r="A874" s="84"/>
      <c r="B874" s="84"/>
      <c r="E874" s="84"/>
      <c r="G874" s="84"/>
      <c r="H874" s="85"/>
    </row>
    <row r="875">
      <c r="A875" s="84"/>
      <c r="B875" s="84"/>
      <c r="E875" s="84"/>
      <c r="G875" s="84"/>
      <c r="H875" s="85"/>
    </row>
    <row r="876">
      <c r="A876" s="84"/>
      <c r="B876" s="84"/>
      <c r="E876" s="84"/>
      <c r="G876" s="84"/>
      <c r="H876" s="85"/>
    </row>
    <row r="877">
      <c r="A877" s="84"/>
      <c r="B877" s="84"/>
      <c r="E877" s="84"/>
      <c r="G877" s="84"/>
      <c r="H877" s="85"/>
    </row>
    <row r="878">
      <c r="A878" s="84"/>
      <c r="B878" s="84"/>
      <c r="E878" s="84"/>
      <c r="G878" s="84"/>
      <c r="H878" s="85"/>
    </row>
    <row r="879">
      <c r="A879" s="84"/>
      <c r="B879" s="84"/>
      <c r="E879" s="84"/>
      <c r="G879" s="84"/>
      <c r="H879" s="85"/>
    </row>
    <row r="880">
      <c r="A880" s="84"/>
      <c r="B880" s="84"/>
      <c r="E880" s="84"/>
      <c r="G880" s="84"/>
      <c r="H880" s="85"/>
    </row>
    <row r="881">
      <c r="A881" s="84"/>
      <c r="B881" s="84"/>
      <c r="E881" s="84"/>
      <c r="G881" s="84"/>
      <c r="H881" s="85"/>
    </row>
    <row r="882">
      <c r="A882" s="84"/>
      <c r="B882" s="84"/>
      <c r="E882" s="84"/>
      <c r="G882" s="84"/>
      <c r="H882" s="85"/>
    </row>
    <row r="883">
      <c r="A883" s="84"/>
      <c r="B883" s="84"/>
      <c r="E883" s="84"/>
      <c r="G883" s="84"/>
      <c r="H883" s="85"/>
    </row>
    <row r="884">
      <c r="A884" s="84"/>
      <c r="B884" s="84"/>
      <c r="E884" s="84"/>
      <c r="G884" s="84"/>
      <c r="H884" s="85"/>
    </row>
    <row r="885">
      <c r="A885" s="84"/>
      <c r="B885" s="84"/>
      <c r="E885" s="84"/>
      <c r="G885" s="84"/>
      <c r="H885" s="85"/>
    </row>
    <row r="886">
      <c r="A886" s="84"/>
      <c r="B886" s="84"/>
      <c r="E886" s="84"/>
      <c r="G886" s="84"/>
      <c r="H886" s="85"/>
    </row>
    <row r="887">
      <c r="A887" s="84"/>
      <c r="B887" s="84"/>
      <c r="E887" s="84"/>
      <c r="G887" s="84"/>
      <c r="H887" s="85"/>
    </row>
    <row r="888">
      <c r="A888" s="84"/>
      <c r="B888" s="84"/>
      <c r="E888" s="84"/>
      <c r="G888" s="84"/>
      <c r="H888" s="85"/>
    </row>
    <row r="889">
      <c r="A889" s="84"/>
      <c r="B889" s="84"/>
      <c r="E889" s="84"/>
      <c r="G889" s="84"/>
      <c r="H889" s="85"/>
    </row>
    <row r="890">
      <c r="A890" s="84"/>
      <c r="B890" s="84"/>
      <c r="E890" s="84"/>
      <c r="G890" s="84"/>
      <c r="H890" s="85"/>
    </row>
    <row r="891">
      <c r="A891" s="84"/>
      <c r="B891" s="84"/>
      <c r="E891" s="84"/>
      <c r="G891" s="84"/>
      <c r="H891" s="85"/>
    </row>
    <row r="892">
      <c r="A892" s="84"/>
      <c r="B892" s="84"/>
      <c r="E892" s="84"/>
      <c r="G892" s="84"/>
      <c r="H892" s="85"/>
    </row>
    <row r="893">
      <c r="A893" s="84"/>
      <c r="B893" s="84"/>
      <c r="E893" s="84"/>
      <c r="G893" s="84"/>
      <c r="H893" s="85"/>
    </row>
    <row r="894">
      <c r="A894" s="84"/>
      <c r="B894" s="84"/>
      <c r="E894" s="84"/>
      <c r="G894" s="84"/>
      <c r="H894" s="85"/>
    </row>
    <row r="895">
      <c r="A895" s="84"/>
      <c r="B895" s="84"/>
      <c r="E895" s="84"/>
      <c r="G895" s="84"/>
      <c r="H895" s="85"/>
    </row>
    <row r="896">
      <c r="A896" s="84"/>
      <c r="B896" s="84"/>
      <c r="E896" s="84"/>
      <c r="G896" s="84"/>
      <c r="H896" s="85"/>
    </row>
    <row r="897">
      <c r="A897" s="84"/>
      <c r="B897" s="84"/>
      <c r="E897" s="84"/>
      <c r="G897" s="84"/>
      <c r="H897" s="85"/>
    </row>
    <row r="898">
      <c r="A898" s="84"/>
      <c r="B898" s="84"/>
      <c r="E898" s="84"/>
      <c r="G898" s="84"/>
      <c r="H898" s="85"/>
    </row>
    <row r="899">
      <c r="A899" s="84"/>
      <c r="B899" s="84"/>
      <c r="E899" s="84"/>
      <c r="G899" s="84"/>
      <c r="H899" s="85"/>
    </row>
    <row r="900">
      <c r="A900" s="84"/>
      <c r="B900" s="84"/>
      <c r="E900" s="84"/>
      <c r="G900" s="84"/>
      <c r="H900" s="85"/>
    </row>
    <row r="901">
      <c r="A901" s="84"/>
      <c r="B901" s="84"/>
      <c r="E901" s="84"/>
      <c r="G901" s="84"/>
      <c r="H901" s="85"/>
    </row>
    <row r="902">
      <c r="A902" s="84"/>
      <c r="B902" s="84"/>
      <c r="E902" s="84"/>
      <c r="G902" s="84"/>
      <c r="H902" s="85"/>
    </row>
    <row r="903">
      <c r="A903" s="84"/>
      <c r="B903" s="84"/>
      <c r="E903" s="84"/>
      <c r="G903" s="84"/>
      <c r="H903" s="85"/>
    </row>
    <row r="904">
      <c r="A904" s="84"/>
      <c r="B904" s="84"/>
      <c r="E904" s="84"/>
      <c r="G904" s="84"/>
      <c r="H904" s="85"/>
    </row>
    <row r="905">
      <c r="A905" s="84"/>
      <c r="B905" s="84"/>
      <c r="E905" s="84"/>
      <c r="G905" s="84"/>
      <c r="H905" s="85"/>
    </row>
    <row r="906">
      <c r="A906" s="84"/>
      <c r="B906" s="84"/>
      <c r="E906" s="84"/>
      <c r="G906" s="84"/>
      <c r="H906" s="85"/>
    </row>
    <row r="907">
      <c r="A907" s="84"/>
      <c r="B907" s="84"/>
      <c r="E907" s="84"/>
      <c r="G907" s="84"/>
      <c r="H907" s="85"/>
    </row>
    <row r="908">
      <c r="A908" s="84"/>
      <c r="B908" s="84"/>
      <c r="E908" s="84"/>
      <c r="G908" s="84"/>
      <c r="H908" s="85"/>
    </row>
    <row r="909">
      <c r="A909" s="84"/>
      <c r="B909" s="84"/>
      <c r="E909" s="84"/>
      <c r="G909" s="84"/>
      <c r="H909" s="85"/>
    </row>
    <row r="910">
      <c r="A910" s="84"/>
      <c r="B910" s="84"/>
      <c r="E910" s="84"/>
      <c r="G910" s="84"/>
      <c r="H910" s="85"/>
    </row>
    <row r="911">
      <c r="A911" s="84"/>
      <c r="B911" s="84"/>
      <c r="E911" s="84"/>
      <c r="G911" s="84"/>
      <c r="H911" s="85"/>
    </row>
    <row r="912">
      <c r="A912" s="84"/>
      <c r="B912" s="84"/>
      <c r="E912" s="84"/>
      <c r="G912" s="84"/>
      <c r="H912" s="85"/>
    </row>
    <row r="913">
      <c r="A913" s="84"/>
      <c r="B913" s="84"/>
      <c r="E913" s="84"/>
      <c r="G913" s="84"/>
      <c r="H913" s="85"/>
    </row>
    <row r="914">
      <c r="A914" s="84"/>
      <c r="B914" s="84"/>
      <c r="E914" s="84"/>
      <c r="G914" s="84"/>
      <c r="H914" s="85"/>
    </row>
    <row r="915">
      <c r="A915" s="84"/>
      <c r="B915" s="84"/>
      <c r="E915" s="84"/>
      <c r="G915" s="84"/>
      <c r="H915" s="85"/>
    </row>
    <row r="916">
      <c r="A916" s="84"/>
      <c r="B916" s="84"/>
      <c r="E916" s="84"/>
      <c r="G916" s="84"/>
      <c r="H916" s="85"/>
    </row>
    <row r="917">
      <c r="A917" s="84"/>
      <c r="B917" s="84"/>
      <c r="E917" s="84"/>
      <c r="G917" s="84"/>
      <c r="H917" s="85"/>
    </row>
    <row r="918">
      <c r="A918" s="84"/>
      <c r="B918" s="84"/>
      <c r="E918" s="84"/>
      <c r="G918" s="84"/>
      <c r="H918" s="85"/>
    </row>
    <row r="919">
      <c r="A919" s="84"/>
      <c r="B919" s="84"/>
      <c r="E919" s="84"/>
      <c r="G919" s="84"/>
      <c r="H919" s="85"/>
    </row>
    <row r="920">
      <c r="A920" s="84"/>
      <c r="B920" s="84"/>
      <c r="E920" s="84"/>
      <c r="G920" s="84"/>
      <c r="H920" s="85"/>
    </row>
    <row r="921">
      <c r="A921" s="84"/>
      <c r="B921" s="84"/>
      <c r="E921" s="84"/>
      <c r="G921" s="84"/>
      <c r="H921" s="85"/>
    </row>
    <row r="922">
      <c r="A922" s="84"/>
      <c r="B922" s="84"/>
      <c r="E922" s="84"/>
      <c r="G922" s="84"/>
      <c r="H922" s="85"/>
    </row>
    <row r="923">
      <c r="A923" s="84"/>
      <c r="B923" s="84"/>
      <c r="E923" s="84"/>
      <c r="G923" s="84"/>
      <c r="H923" s="85"/>
    </row>
    <row r="924">
      <c r="A924" s="84"/>
      <c r="B924" s="84"/>
      <c r="E924" s="84"/>
      <c r="G924" s="84"/>
      <c r="H924" s="85"/>
    </row>
    <row r="925">
      <c r="A925" s="84"/>
      <c r="B925" s="84"/>
      <c r="E925" s="84"/>
      <c r="G925" s="84"/>
      <c r="H925" s="85"/>
    </row>
    <row r="926">
      <c r="A926" s="84"/>
      <c r="B926" s="84"/>
      <c r="E926" s="84"/>
      <c r="G926" s="84"/>
      <c r="H926" s="85"/>
    </row>
    <row r="927">
      <c r="A927" s="84"/>
      <c r="B927" s="84"/>
      <c r="E927" s="84"/>
      <c r="G927" s="84"/>
      <c r="H927" s="85"/>
    </row>
    <row r="928">
      <c r="A928" s="84"/>
      <c r="B928" s="84"/>
      <c r="E928" s="84"/>
      <c r="G928" s="84"/>
      <c r="H928" s="85"/>
    </row>
    <row r="929">
      <c r="A929" s="84"/>
      <c r="B929" s="84"/>
      <c r="E929" s="84"/>
      <c r="G929" s="84"/>
      <c r="H929" s="85"/>
    </row>
    <row r="930">
      <c r="A930" s="84"/>
      <c r="B930" s="84"/>
      <c r="E930" s="84"/>
      <c r="G930" s="84"/>
      <c r="H930" s="85"/>
    </row>
    <row r="931">
      <c r="A931" s="84"/>
      <c r="B931" s="84"/>
      <c r="E931" s="84"/>
      <c r="G931" s="84"/>
      <c r="H931" s="85"/>
    </row>
    <row r="932">
      <c r="A932" s="84"/>
      <c r="B932" s="84"/>
      <c r="E932" s="84"/>
      <c r="G932" s="84"/>
      <c r="H932" s="85"/>
    </row>
    <row r="933">
      <c r="A933" s="84"/>
      <c r="B933" s="84"/>
      <c r="E933" s="84"/>
      <c r="G933" s="84"/>
      <c r="H933" s="85"/>
    </row>
    <row r="934">
      <c r="A934" s="84"/>
      <c r="B934" s="84"/>
      <c r="E934" s="84"/>
      <c r="G934" s="84"/>
      <c r="H934" s="85"/>
    </row>
    <row r="935">
      <c r="A935" s="84"/>
      <c r="B935" s="84"/>
      <c r="E935" s="84"/>
      <c r="G935" s="84"/>
      <c r="H935" s="85"/>
    </row>
    <row r="936">
      <c r="A936" s="84"/>
      <c r="B936" s="84"/>
      <c r="E936" s="84"/>
      <c r="G936" s="84"/>
      <c r="H936" s="85"/>
    </row>
    <row r="937">
      <c r="A937" s="84"/>
      <c r="B937" s="84"/>
      <c r="E937" s="84"/>
      <c r="G937" s="84"/>
      <c r="H937" s="85"/>
    </row>
    <row r="938">
      <c r="A938" s="84"/>
      <c r="B938" s="84"/>
      <c r="E938" s="84"/>
      <c r="G938" s="84"/>
      <c r="H938" s="85"/>
    </row>
    <row r="939">
      <c r="A939" s="84"/>
      <c r="B939" s="84"/>
      <c r="E939" s="84"/>
      <c r="G939" s="84"/>
      <c r="H939" s="85"/>
    </row>
    <row r="940">
      <c r="A940" s="84"/>
      <c r="B940" s="84"/>
      <c r="E940" s="84"/>
      <c r="G940" s="84"/>
      <c r="H940" s="85"/>
    </row>
    <row r="941">
      <c r="A941" s="84"/>
      <c r="B941" s="84"/>
      <c r="E941" s="84"/>
      <c r="G941" s="84"/>
      <c r="H941" s="85"/>
    </row>
    <row r="942">
      <c r="A942" s="84"/>
      <c r="B942" s="84"/>
      <c r="E942" s="84"/>
      <c r="G942" s="84"/>
      <c r="H942" s="85"/>
    </row>
    <row r="943">
      <c r="A943" s="84"/>
      <c r="B943" s="84"/>
      <c r="E943" s="84"/>
      <c r="G943" s="84"/>
      <c r="H943" s="85"/>
    </row>
    <row r="944">
      <c r="A944" s="84"/>
      <c r="B944" s="84"/>
      <c r="E944" s="84"/>
      <c r="G944" s="84"/>
      <c r="H944" s="85"/>
    </row>
    <row r="945">
      <c r="A945" s="84"/>
      <c r="B945" s="84"/>
      <c r="E945" s="84"/>
      <c r="G945" s="84"/>
      <c r="H945" s="85"/>
    </row>
    <row r="946">
      <c r="A946" s="84"/>
      <c r="B946" s="84"/>
      <c r="E946" s="84"/>
      <c r="G946" s="84"/>
      <c r="H946" s="85"/>
    </row>
    <row r="947">
      <c r="A947" s="84"/>
      <c r="B947" s="84"/>
      <c r="E947" s="84"/>
      <c r="G947" s="84"/>
      <c r="H947" s="85"/>
    </row>
    <row r="948">
      <c r="A948" s="84"/>
      <c r="B948" s="84"/>
      <c r="E948" s="84"/>
      <c r="G948" s="84"/>
      <c r="H948" s="85"/>
    </row>
    <row r="949">
      <c r="A949" s="84"/>
      <c r="B949" s="84"/>
      <c r="E949" s="84"/>
      <c r="G949" s="84"/>
      <c r="H949" s="85"/>
    </row>
    <row r="950">
      <c r="A950" s="84"/>
      <c r="B950" s="84"/>
      <c r="E950" s="84"/>
      <c r="G950" s="84"/>
      <c r="H950" s="85"/>
    </row>
    <row r="951">
      <c r="A951" s="84"/>
      <c r="B951" s="84"/>
      <c r="E951" s="84"/>
      <c r="G951" s="84"/>
      <c r="H951" s="85"/>
    </row>
    <row r="952">
      <c r="A952" s="84"/>
      <c r="B952" s="84"/>
      <c r="E952" s="84"/>
      <c r="G952" s="84"/>
      <c r="H952" s="85"/>
    </row>
    <row r="953">
      <c r="A953" s="84"/>
      <c r="B953" s="84"/>
      <c r="E953" s="84"/>
      <c r="G953" s="84"/>
      <c r="H953" s="85"/>
    </row>
    <row r="954">
      <c r="A954" s="84"/>
      <c r="B954" s="84"/>
      <c r="E954" s="84"/>
      <c r="G954" s="84"/>
      <c r="H954" s="85"/>
    </row>
    <row r="955">
      <c r="A955" s="84"/>
      <c r="B955" s="84"/>
      <c r="E955" s="84"/>
      <c r="G955" s="84"/>
      <c r="H955" s="85"/>
    </row>
    <row r="956">
      <c r="A956" s="84"/>
      <c r="B956" s="84"/>
      <c r="E956" s="84"/>
      <c r="G956" s="84"/>
      <c r="H956" s="85"/>
    </row>
    <row r="957">
      <c r="A957" s="84"/>
      <c r="B957" s="84"/>
      <c r="E957" s="84"/>
      <c r="G957" s="84"/>
      <c r="H957" s="85"/>
    </row>
    <row r="958">
      <c r="A958" s="84"/>
      <c r="B958" s="84"/>
      <c r="E958" s="84"/>
      <c r="G958" s="84"/>
      <c r="H958" s="85"/>
    </row>
    <row r="959">
      <c r="A959" s="84"/>
      <c r="B959" s="84"/>
      <c r="E959" s="84"/>
      <c r="G959" s="84"/>
      <c r="H959" s="85"/>
    </row>
    <row r="960">
      <c r="A960" s="84"/>
      <c r="B960" s="84"/>
      <c r="E960" s="84"/>
      <c r="G960" s="84"/>
      <c r="H960" s="85"/>
    </row>
    <row r="961">
      <c r="A961" s="84"/>
      <c r="B961" s="84"/>
      <c r="E961" s="84"/>
      <c r="G961" s="84"/>
      <c r="H961" s="85"/>
    </row>
    <row r="962">
      <c r="A962" s="84"/>
      <c r="B962" s="84"/>
      <c r="E962" s="84"/>
      <c r="G962" s="84"/>
      <c r="H962" s="85"/>
    </row>
    <row r="963">
      <c r="A963" s="84"/>
      <c r="B963" s="84"/>
      <c r="E963" s="84"/>
      <c r="G963" s="84"/>
      <c r="H963" s="85"/>
    </row>
    <row r="964">
      <c r="A964" s="84"/>
      <c r="B964" s="84"/>
      <c r="E964" s="84"/>
      <c r="G964" s="84"/>
      <c r="H964" s="85"/>
    </row>
    <row r="965">
      <c r="A965" s="84"/>
      <c r="B965" s="84"/>
      <c r="E965" s="84"/>
      <c r="G965" s="84"/>
      <c r="H965" s="85"/>
    </row>
    <row r="966">
      <c r="A966" s="84"/>
      <c r="B966" s="84"/>
      <c r="E966" s="84"/>
      <c r="G966" s="84"/>
      <c r="H966" s="85"/>
    </row>
    <row r="967">
      <c r="A967" s="84"/>
      <c r="B967" s="84"/>
      <c r="E967" s="84"/>
      <c r="G967" s="84"/>
      <c r="H967" s="85"/>
    </row>
    <row r="968">
      <c r="A968" s="84"/>
      <c r="B968" s="84"/>
      <c r="E968" s="84"/>
      <c r="G968" s="84"/>
      <c r="H968" s="85"/>
    </row>
    <row r="969">
      <c r="A969" s="84"/>
      <c r="B969" s="84"/>
      <c r="E969" s="84"/>
      <c r="G969" s="84"/>
      <c r="H969" s="85"/>
    </row>
    <row r="970">
      <c r="A970" s="84"/>
      <c r="B970" s="84"/>
      <c r="E970" s="84"/>
      <c r="G970" s="84"/>
      <c r="H970" s="85"/>
    </row>
    <row r="971">
      <c r="A971" s="84"/>
      <c r="B971" s="84"/>
      <c r="E971" s="84"/>
      <c r="G971" s="84"/>
      <c r="H971" s="85"/>
    </row>
    <row r="972">
      <c r="A972" s="84"/>
      <c r="B972" s="84"/>
      <c r="E972" s="84"/>
      <c r="G972" s="84"/>
      <c r="H972" s="85"/>
    </row>
    <row r="973">
      <c r="A973" s="84"/>
      <c r="B973" s="84"/>
      <c r="E973" s="84"/>
      <c r="G973" s="84"/>
      <c r="H973" s="85"/>
    </row>
    <row r="974">
      <c r="A974" s="84"/>
      <c r="B974" s="84"/>
      <c r="E974" s="84"/>
      <c r="G974" s="84"/>
      <c r="H974" s="85"/>
    </row>
    <row r="975">
      <c r="A975" s="84"/>
      <c r="B975" s="84"/>
      <c r="E975" s="84"/>
      <c r="G975" s="84"/>
      <c r="H975" s="85"/>
    </row>
    <row r="976">
      <c r="A976" s="84"/>
      <c r="B976" s="84"/>
      <c r="E976" s="84"/>
      <c r="G976" s="84"/>
      <c r="H976" s="85"/>
    </row>
    <row r="977">
      <c r="A977" s="84"/>
      <c r="B977" s="84"/>
      <c r="E977" s="84"/>
      <c r="G977" s="84"/>
      <c r="H977" s="85"/>
    </row>
    <row r="978">
      <c r="A978" s="84"/>
      <c r="B978" s="84"/>
      <c r="E978" s="84"/>
      <c r="G978" s="84"/>
      <c r="H978" s="85"/>
    </row>
    <row r="979">
      <c r="A979" s="84"/>
      <c r="B979" s="84"/>
      <c r="E979" s="84"/>
      <c r="G979" s="84"/>
      <c r="H979" s="85"/>
    </row>
    <row r="980">
      <c r="A980" s="84"/>
      <c r="B980" s="84"/>
      <c r="E980" s="84"/>
      <c r="G980" s="84"/>
      <c r="H980" s="85"/>
    </row>
    <row r="981">
      <c r="A981" s="84"/>
      <c r="B981" s="84"/>
      <c r="E981" s="84"/>
      <c r="G981" s="84"/>
      <c r="H981" s="85"/>
    </row>
    <row r="982">
      <c r="A982" s="84"/>
      <c r="B982" s="84"/>
      <c r="E982" s="84"/>
      <c r="G982" s="84"/>
      <c r="H982" s="85"/>
    </row>
    <row r="983">
      <c r="A983" s="84"/>
      <c r="B983" s="84"/>
      <c r="E983" s="84"/>
      <c r="G983" s="84"/>
      <c r="H983" s="85"/>
    </row>
    <row r="984">
      <c r="A984" s="84"/>
      <c r="B984" s="84"/>
      <c r="E984" s="84"/>
      <c r="G984" s="84"/>
      <c r="H984" s="85"/>
    </row>
    <row r="985">
      <c r="A985" s="84"/>
      <c r="B985" s="84"/>
      <c r="E985" s="84"/>
      <c r="G985" s="84"/>
      <c r="H985" s="85"/>
    </row>
    <row r="986">
      <c r="A986" s="84"/>
      <c r="B986" s="84"/>
      <c r="E986" s="84"/>
      <c r="G986" s="84"/>
      <c r="H986" s="85"/>
    </row>
    <row r="987">
      <c r="A987" s="84"/>
      <c r="B987" s="84"/>
      <c r="E987" s="84"/>
      <c r="G987" s="84"/>
      <c r="H987" s="85"/>
    </row>
    <row r="988">
      <c r="A988" s="84"/>
      <c r="B988" s="84"/>
      <c r="E988" s="84"/>
      <c r="G988" s="84"/>
      <c r="H988" s="85"/>
    </row>
    <row r="989">
      <c r="A989" s="84"/>
      <c r="B989" s="84"/>
      <c r="E989" s="84"/>
      <c r="G989" s="84"/>
      <c r="H989" s="85"/>
    </row>
    <row r="990">
      <c r="A990" s="84"/>
      <c r="B990" s="84"/>
      <c r="E990" s="84"/>
      <c r="G990" s="84"/>
      <c r="H990" s="85"/>
    </row>
    <row r="991">
      <c r="A991" s="84"/>
      <c r="B991" s="84"/>
      <c r="E991" s="84"/>
      <c r="G991" s="84"/>
      <c r="H991" s="85"/>
    </row>
    <row r="992">
      <c r="A992" s="84"/>
      <c r="B992" s="84"/>
      <c r="E992" s="84"/>
      <c r="G992" s="84"/>
      <c r="H992" s="85"/>
    </row>
    <row r="993">
      <c r="A993" s="84"/>
      <c r="B993" s="84"/>
      <c r="E993" s="84"/>
      <c r="G993" s="84"/>
      <c r="H993" s="85"/>
    </row>
    <row r="994">
      <c r="A994" s="84"/>
      <c r="B994" s="84"/>
      <c r="E994" s="84"/>
      <c r="G994" s="84"/>
      <c r="H994" s="85"/>
    </row>
    <row r="995">
      <c r="A995" s="84"/>
      <c r="B995" s="84"/>
      <c r="E995" s="84"/>
      <c r="G995" s="84"/>
      <c r="H995" s="85"/>
    </row>
    <row r="996">
      <c r="A996" s="84"/>
      <c r="B996" s="84"/>
      <c r="E996" s="84"/>
      <c r="G996" s="84"/>
      <c r="H996" s="85"/>
    </row>
    <row r="997">
      <c r="A997" s="84"/>
      <c r="B997" s="84"/>
      <c r="E997" s="84"/>
      <c r="G997" s="84"/>
      <c r="H997" s="85"/>
    </row>
    <row r="998">
      <c r="A998" s="84"/>
      <c r="B998" s="84"/>
      <c r="E998" s="84"/>
      <c r="G998" s="84"/>
      <c r="H998" s="85"/>
    </row>
    <row r="999">
      <c r="A999" s="84"/>
      <c r="B999" s="84"/>
      <c r="E999" s="84"/>
      <c r="G999" s="84"/>
      <c r="H999" s="85"/>
    </row>
    <row r="1000">
      <c r="A1000" s="84"/>
      <c r="B1000" s="84"/>
      <c r="E1000" s="84"/>
      <c r="G1000" s="84"/>
      <c r="H1000" s="85"/>
    </row>
    <row r="1001">
      <c r="A1001" s="84"/>
      <c r="B1001" s="84"/>
      <c r="E1001" s="84"/>
      <c r="G1001" s="84"/>
      <c r="H1001" s="85"/>
    </row>
    <row r="1002">
      <c r="A1002" s="84"/>
      <c r="B1002" s="84"/>
      <c r="E1002" s="84"/>
      <c r="G1002" s="84"/>
      <c r="H1002" s="85"/>
    </row>
    <row r="1003">
      <c r="A1003" s="84"/>
      <c r="B1003" s="84"/>
      <c r="E1003" s="84"/>
      <c r="G1003" s="84"/>
      <c r="H1003" s="85"/>
    </row>
    <row r="1004">
      <c r="A1004" s="84"/>
      <c r="B1004" s="84"/>
      <c r="E1004" s="84"/>
      <c r="G1004" s="84"/>
      <c r="H1004" s="85"/>
    </row>
    <row r="1005">
      <c r="A1005" s="84"/>
      <c r="B1005" s="84"/>
      <c r="E1005" s="84"/>
      <c r="G1005" s="84"/>
      <c r="H1005" s="85"/>
    </row>
    <row r="1006">
      <c r="A1006" s="84"/>
      <c r="B1006" s="84"/>
      <c r="E1006" s="84"/>
      <c r="G1006" s="84"/>
      <c r="H1006" s="85"/>
    </row>
    <row r="1007">
      <c r="A1007" s="84"/>
      <c r="B1007" s="84"/>
      <c r="E1007" s="84"/>
      <c r="G1007" s="84"/>
      <c r="H1007" s="85"/>
    </row>
    <row r="1008">
      <c r="A1008" s="84"/>
      <c r="B1008" s="84"/>
      <c r="E1008" s="84"/>
      <c r="G1008" s="84"/>
      <c r="H1008" s="85"/>
    </row>
    <row r="1009">
      <c r="A1009" s="84"/>
      <c r="B1009" s="84"/>
      <c r="E1009" s="84"/>
      <c r="G1009" s="84"/>
      <c r="H1009" s="85"/>
    </row>
    <row r="1010">
      <c r="A1010" s="84"/>
      <c r="B1010" s="84"/>
      <c r="E1010" s="84"/>
      <c r="G1010" s="84"/>
      <c r="H1010" s="85"/>
    </row>
    <row r="1011">
      <c r="A1011" s="84"/>
      <c r="B1011" s="84"/>
      <c r="E1011" s="84"/>
      <c r="G1011" s="84"/>
      <c r="H1011" s="85"/>
    </row>
    <row r="1012">
      <c r="A1012" s="84"/>
      <c r="B1012" s="84"/>
      <c r="E1012" s="84"/>
      <c r="G1012" s="84"/>
      <c r="H1012" s="85"/>
    </row>
    <row r="1013">
      <c r="A1013" s="84"/>
      <c r="B1013" s="84"/>
      <c r="E1013" s="84"/>
      <c r="G1013" s="84"/>
      <c r="H1013" s="85"/>
    </row>
    <row r="1014">
      <c r="A1014" s="84"/>
      <c r="B1014" s="84"/>
      <c r="E1014" s="84"/>
      <c r="G1014" s="84"/>
      <c r="H1014" s="85"/>
    </row>
    <row r="1015">
      <c r="A1015" s="84"/>
      <c r="B1015" s="84"/>
      <c r="E1015" s="84"/>
      <c r="G1015" s="84"/>
      <c r="H1015" s="85"/>
    </row>
    <row r="1016">
      <c r="A1016" s="84"/>
      <c r="B1016" s="84"/>
      <c r="E1016" s="84"/>
      <c r="G1016" s="84"/>
      <c r="H1016" s="85"/>
    </row>
    <row r="1017">
      <c r="A1017" s="84"/>
      <c r="B1017" s="84"/>
      <c r="E1017" s="84"/>
      <c r="G1017" s="84"/>
      <c r="H1017" s="85"/>
    </row>
    <row r="1018">
      <c r="A1018" s="84"/>
      <c r="B1018" s="84"/>
      <c r="E1018" s="84"/>
      <c r="G1018" s="84"/>
      <c r="H1018" s="85"/>
    </row>
    <row r="1019">
      <c r="A1019" s="84"/>
      <c r="B1019" s="84"/>
      <c r="E1019" s="84"/>
      <c r="G1019" s="84"/>
      <c r="H1019" s="85"/>
    </row>
    <row r="1020">
      <c r="A1020" s="84"/>
      <c r="B1020" s="84"/>
      <c r="E1020" s="84"/>
      <c r="G1020" s="84"/>
      <c r="H1020" s="85"/>
    </row>
    <row r="1021">
      <c r="A1021" s="84"/>
      <c r="B1021" s="84"/>
      <c r="E1021" s="84"/>
      <c r="G1021" s="84"/>
      <c r="H1021" s="85"/>
    </row>
    <row r="1022">
      <c r="A1022" s="84"/>
      <c r="B1022" s="84"/>
      <c r="E1022" s="84"/>
      <c r="G1022" s="84"/>
      <c r="H1022" s="85"/>
    </row>
    <row r="1023">
      <c r="A1023" s="84"/>
      <c r="B1023" s="84"/>
      <c r="E1023" s="84"/>
      <c r="G1023" s="84"/>
      <c r="H1023" s="85"/>
    </row>
    <row r="1024">
      <c r="A1024" s="84"/>
      <c r="B1024" s="84"/>
      <c r="E1024" s="84"/>
      <c r="G1024" s="84"/>
      <c r="H1024" s="85"/>
    </row>
    <row r="1025">
      <c r="A1025" s="84"/>
      <c r="B1025" s="84"/>
      <c r="E1025" s="84"/>
      <c r="G1025" s="84"/>
      <c r="H1025" s="85"/>
    </row>
    <row r="1026">
      <c r="A1026" s="84"/>
      <c r="B1026" s="84"/>
      <c r="E1026" s="84"/>
      <c r="G1026" s="84"/>
      <c r="H1026" s="85"/>
    </row>
    <row r="1027">
      <c r="A1027" s="84"/>
      <c r="B1027" s="84"/>
      <c r="E1027" s="84"/>
      <c r="G1027" s="84"/>
      <c r="H1027" s="85"/>
    </row>
    <row r="1028">
      <c r="A1028" s="84"/>
      <c r="B1028" s="84"/>
      <c r="E1028" s="84"/>
      <c r="G1028" s="84"/>
      <c r="H1028" s="85"/>
    </row>
    <row r="1029">
      <c r="A1029" s="84"/>
      <c r="B1029" s="84"/>
      <c r="E1029" s="84"/>
      <c r="G1029" s="84"/>
      <c r="H1029" s="85"/>
    </row>
    <row r="1030">
      <c r="A1030" s="84"/>
      <c r="B1030" s="84"/>
      <c r="E1030" s="84"/>
      <c r="G1030" s="84"/>
      <c r="H1030" s="85"/>
    </row>
    <row r="1031">
      <c r="A1031" s="84"/>
      <c r="B1031" s="84"/>
      <c r="E1031" s="84"/>
      <c r="G1031" s="84"/>
      <c r="H1031" s="85"/>
    </row>
    <row r="1032">
      <c r="A1032" s="84"/>
      <c r="B1032" s="84"/>
      <c r="E1032" s="84"/>
      <c r="G1032" s="84"/>
      <c r="H1032" s="85"/>
    </row>
    <row r="1033">
      <c r="A1033" s="84"/>
      <c r="B1033" s="84"/>
      <c r="E1033" s="84"/>
      <c r="G1033" s="84"/>
      <c r="H1033" s="85"/>
    </row>
    <row r="1034">
      <c r="A1034" s="84"/>
      <c r="B1034" s="84"/>
      <c r="E1034" s="84"/>
      <c r="G1034" s="84"/>
      <c r="H1034" s="85"/>
    </row>
    <row r="1035">
      <c r="A1035" s="84"/>
      <c r="B1035" s="84"/>
      <c r="E1035" s="84"/>
      <c r="G1035" s="84"/>
      <c r="H1035" s="85"/>
    </row>
    <row r="1036">
      <c r="A1036" s="84"/>
      <c r="B1036" s="84"/>
      <c r="E1036" s="84"/>
      <c r="G1036" s="84"/>
      <c r="H1036" s="85"/>
    </row>
    <row r="1037">
      <c r="A1037" s="84"/>
      <c r="B1037" s="84"/>
      <c r="E1037" s="84"/>
      <c r="G1037" s="84"/>
      <c r="H1037" s="85"/>
    </row>
    <row r="1038">
      <c r="A1038" s="84"/>
      <c r="B1038" s="84"/>
      <c r="E1038" s="84"/>
      <c r="G1038" s="84"/>
      <c r="H1038" s="85"/>
    </row>
    <row r="1039">
      <c r="A1039" s="84"/>
      <c r="B1039" s="84"/>
      <c r="E1039" s="84"/>
      <c r="G1039" s="84"/>
      <c r="H1039" s="85"/>
    </row>
    <row r="1040">
      <c r="A1040" s="84"/>
      <c r="B1040" s="84"/>
      <c r="E1040" s="84"/>
      <c r="G1040" s="84"/>
      <c r="H1040" s="85"/>
    </row>
    <row r="1041">
      <c r="A1041" s="84"/>
      <c r="B1041" s="84"/>
      <c r="E1041" s="84"/>
      <c r="G1041" s="84"/>
      <c r="H1041" s="85"/>
    </row>
    <row r="1042">
      <c r="A1042" s="84"/>
      <c r="B1042" s="84"/>
      <c r="E1042" s="84"/>
      <c r="G1042" s="84"/>
      <c r="H1042" s="85"/>
    </row>
    <row r="1043">
      <c r="A1043" s="84"/>
      <c r="B1043" s="84"/>
      <c r="E1043" s="84"/>
      <c r="G1043" s="84"/>
      <c r="H1043" s="85"/>
    </row>
    <row r="1044">
      <c r="A1044" s="84"/>
      <c r="B1044" s="84"/>
      <c r="E1044" s="84"/>
      <c r="G1044" s="84"/>
      <c r="H1044" s="85"/>
    </row>
    <row r="1045">
      <c r="A1045" s="84"/>
      <c r="B1045" s="84"/>
      <c r="E1045" s="84"/>
      <c r="G1045" s="84"/>
      <c r="H1045" s="85"/>
    </row>
    <row r="1046">
      <c r="A1046" s="84"/>
      <c r="B1046" s="84"/>
      <c r="E1046" s="84"/>
      <c r="G1046" s="84"/>
      <c r="H1046" s="85"/>
    </row>
    <row r="1047">
      <c r="A1047" s="84"/>
      <c r="B1047" s="84"/>
      <c r="E1047" s="84"/>
      <c r="G1047" s="84"/>
      <c r="H1047" s="85"/>
    </row>
    <row r="1048">
      <c r="A1048" s="84"/>
      <c r="B1048" s="84"/>
      <c r="E1048" s="84"/>
      <c r="G1048" s="84"/>
      <c r="H1048" s="85"/>
    </row>
    <row r="1049">
      <c r="A1049" s="84"/>
      <c r="B1049" s="84"/>
      <c r="E1049" s="84"/>
      <c r="G1049" s="84"/>
      <c r="H1049" s="85"/>
    </row>
    <row r="1050">
      <c r="A1050" s="84"/>
      <c r="B1050" s="84"/>
      <c r="E1050" s="84"/>
      <c r="G1050" s="84"/>
      <c r="H1050" s="85"/>
    </row>
    <row r="1051">
      <c r="A1051" s="84"/>
      <c r="B1051" s="84"/>
      <c r="E1051" s="84"/>
      <c r="G1051" s="84"/>
      <c r="H1051" s="85"/>
    </row>
    <row r="1052">
      <c r="A1052" s="84"/>
      <c r="B1052" s="84"/>
      <c r="E1052" s="84"/>
      <c r="G1052" s="84"/>
      <c r="H1052" s="85"/>
    </row>
    <row r="1053">
      <c r="A1053" s="84"/>
      <c r="B1053" s="84"/>
      <c r="E1053" s="84"/>
      <c r="G1053" s="84"/>
      <c r="H1053" s="85"/>
    </row>
    <row r="1054">
      <c r="A1054" s="84"/>
      <c r="B1054" s="84"/>
      <c r="E1054" s="84"/>
      <c r="G1054" s="84"/>
      <c r="H1054" s="85"/>
    </row>
    <row r="1055">
      <c r="A1055" s="84"/>
      <c r="B1055" s="84"/>
      <c r="E1055" s="84"/>
      <c r="G1055" s="84"/>
      <c r="H1055" s="85"/>
    </row>
    <row r="1056">
      <c r="A1056" s="84"/>
      <c r="B1056" s="84"/>
      <c r="E1056" s="84"/>
      <c r="G1056" s="84"/>
      <c r="H1056" s="85"/>
    </row>
    <row r="1057">
      <c r="A1057" s="84"/>
      <c r="B1057" s="84"/>
      <c r="E1057" s="84"/>
      <c r="G1057" s="84"/>
      <c r="H1057" s="85"/>
    </row>
    <row r="1058">
      <c r="A1058" s="84"/>
      <c r="B1058" s="84"/>
      <c r="E1058" s="84"/>
      <c r="G1058" s="84"/>
      <c r="H1058" s="85"/>
    </row>
    <row r="1059">
      <c r="A1059" s="84"/>
      <c r="B1059" s="84"/>
      <c r="E1059" s="84"/>
      <c r="G1059" s="84"/>
      <c r="H1059" s="85"/>
    </row>
    <row r="1060">
      <c r="A1060" s="84"/>
      <c r="B1060" s="84"/>
      <c r="E1060" s="84"/>
      <c r="G1060" s="84"/>
      <c r="H1060" s="85"/>
    </row>
    <row r="1061">
      <c r="A1061" s="84"/>
      <c r="B1061" s="84"/>
      <c r="E1061" s="84"/>
      <c r="G1061" s="84"/>
      <c r="H1061" s="85"/>
    </row>
    <row r="1062">
      <c r="A1062" s="84"/>
      <c r="B1062" s="84"/>
      <c r="E1062" s="84"/>
      <c r="G1062" s="84"/>
      <c r="H1062" s="85"/>
    </row>
    <row r="1063">
      <c r="A1063" s="84"/>
      <c r="B1063" s="84"/>
      <c r="E1063" s="84"/>
      <c r="G1063" s="84"/>
      <c r="H1063" s="85"/>
    </row>
    <row r="1064">
      <c r="A1064" s="84"/>
      <c r="B1064" s="84"/>
      <c r="E1064" s="84"/>
      <c r="G1064" s="84"/>
      <c r="H1064" s="85"/>
    </row>
    <row r="1065">
      <c r="A1065" s="84"/>
      <c r="B1065" s="84"/>
      <c r="E1065" s="84"/>
      <c r="G1065" s="84"/>
      <c r="H1065" s="85"/>
    </row>
    <row r="1066">
      <c r="A1066" s="84"/>
      <c r="B1066" s="84"/>
      <c r="E1066" s="84"/>
      <c r="G1066" s="84"/>
      <c r="H1066" s="85"/>
    </row>
    <row r="1067">
      <c r="A1067" s="84"/>
      <c r="B1067" s="84"/>
      <c r="E1067" s="84"/>
      <c r="G1067" s="84"/>
      <c r="H1067" s="85"/>
    </row>
    <row r="1068">
      <c r="A1068" s="84"/>
      <c r="B1068" s="84"/>
      <c r="E1068" s="84"/>
      <c r="G1068" s="84"/>
      <c r="H1068" s="85"/>
    </row>
    <row r="1069">
      <c r="A1069" s="84"/>
      <c r="B1069" s="84"/>
      <c r="E1069" s="84"/>
      <c r="G1069" s="84"/>
      <c r="H1069" s="85"/>
    </row>
    <row r="1070">
      <c r="A1070" s="84"/>
      <c r="B1070" s="84"/>
      <c r="E1070" s="84"/>
      <c r="G1070" s="84"/>
      <c r="H1070" s="85"/>
    </row>
    <row r="1071">
      <c r="A1071" s="84"/>
      <c r="B1071" s="84"/>
      <c r="E1071" s="84"/>
      <c r="G1071" s="84"/>
      <c r="H1071" s="85"/>
    </row>
    <row r="1072">
      <c r="A1072" s="84"/>
      <c r="B1072" s="84"/>
      <c r="E1072" s="84"/>
      <c r="G1072" s="84"/>
      <c r="H1072" s="85"/>
    </row>
    <row r="1073">
      <c r="A1073" s="84"/>
      <c r="B1073" s="84"/>
      <c r="E1073" s="84"/>
      <c r="G1073" s="84"/>
      <c r="H1073" s="85"/>
    </row>
    <row r="1074">
      <c r="A1074" s="84"/>
      <c r="B1074" s="84"/>
      <c r="E1074" s="84"/>
      <c r="G1074" s="84"/>
      <c r="H1074" s="85"/>
    </row>
    <row r="1075">
      <c r="A1075" s="84"/>
      <c r="B1075" s="84"/>
      <c r="E1075" s="84"/>
      <c r="G1075" s="84"/>
      <c r="H1075" s="85"/>
    </row>
    <row r="1076">
      <c r="A1076" s="84"/>
      <c r="B1076" s="84"/>
      <c r="E1076" s="84"/>
      <c r="G1076" s="84"/>
      <c r="H1076" s="85"/>
    </row>
    <row r="1077">
      <c r="A1077" s="84"/>
      <c r="B1077" s="84"/>
      <c r="E1077" s="84"/>
      <c r="G1077" s="84"/>
      <c r="H1077" s="85"/>
    </row>
    <row r="1078">
      <c r="A1078" s="84"/>
      <c r="B1078" s="84"/>
      <c r="E1078" s="84"/>
      <c r="G1078" s="84"/>
      <c r="H1078" s="85"/>
    </row>
    <row r="1079">
      <c r="A1079" s="84"/>
      <c r="B1079" s="84"/>
      <c r="E1079" s="84"/>
      <c r="G1079" s="84"/>
      <c r="H1079" s="85"/>
    </row>
    <row r="1080">
      <c r="A1080" s="84"/>
      <c r="B1080" s="84"/>
      <c r="E1080" s="84"/>
      <c r="G1080" s="84"/>
      <c r="H1080" s="85"/>
    </row>
    <row r="1081">
      <c r="A1081" s="84"/>
      <c r="B1081" s="84"/>
      <c r="E1081" s="84"/>
      <c r="G1081" s="84"/>
      <c r="H1081" s="85"/>
    </row>
    <row r="1082">
      <c r="A1082" s="84"/>
      <c r="B1082" s="84"/>
      <c r="E1082" s="84"/>
      <c r="G1082" s="84"/>
      <c r="H1082" s="85"/>
    </row>
    <row r="1083">
      <c r="A1083" s="84"/>
      <c r="B1083" s="84"/>
      <c r="E1083" s="84"/>
      <c r="G1083" s="84"/>
      <c r="H1083" s="85"/>
    </row>
    <row r="1084">
      <c r="A1084" s="84"/>
      <c r="B1084" s="84"/>
      <c r="E1084" s="84"/>
      <c r="G1084" s="84"/>
      <c r="H1084" s="85"/>
    </row>
    <row r="1085">
      <c r="A1085" s="84"/>
      <c r="B1085" s="84"/>
      <c r="E1085" s="84"/>
      <c r="G1085" s="84"/>
      <c r="H1085" s="85"/>
    </row>
    <row r="1086">
      <c r="A1086" s="84"/>
      <c r="B1086" s="84"/>
      <c r="E1086" s="84"/>
      <c r="G1086" s="84"/>
      <c r="H1086" s="85"/>
    </row>
    <row r="1087">
      <c r="A1087" s="84"/>
      <c r="B1087" s="84"/>
      <c r="E1087" s="84"/>
      <c r="G1087" s="84"/>
      <c r="H1087" s="85"/>
    </row>
    <row r="1088">
      <c r="A1088" s="84"/>
      <c r="B1088" s="84"/>
      <c r="E1088" s="84"/>
      <c r="G1088" s="84"/>
      <c r="H1088" s="85"/>
    </row>
    <row r="1089">
      <c r="A1089" s="84"/>
      <c r="B1089" s="84"/>
      <c r="E1089" s="84"/>
      <c r="G1089" s="84"/>
      <c r="H1089" s="85"/>
    </row>
    <row r="1090">
      <c r="A1090" s="84"/>
      <c r="B1090" s="84"/>
      <c r="E1090" s="84"/>
      <c r="G1090" s="84"/>
      <c r="H1090" s="85"/>
    </row>
    <row r="1091">
      <c r="A1091" s="84"/>
      <c r="B1091" s="84"/>
      <c r="E1091" s="84"/>
      <c r="G1091" s="84"/>
      <c r="H1091" s="85"/>
    </row>
    <row r="1092">
      <c r="A1092" s="84"/>
      <c r="B1092" s="84"/>
      <c r="E1092" s="84"/>
      <c r="G1092" s="84"/>
      <c r="H1092" s="85"/>
    </row>
    <row r="1093">
      <c r="A1093" s="84"/>
      <c r="B1093" s="84"/>
      <c r="E1093" s="84"/>
      <c r="G1093" s="84"/>
      <c r="H1093" s="85"/>
    </row>
    <row r="1094">
      <c r="A1094" s="84"/>
      <c r="B1094" s="84"/>
      <c r="E1094" s="84"/>
      <c r="G1094" s="84"/>
      <c r="H1094" s="85"/>
    </row>
    <row r="1095">
      <c r="A1095" s="84"/>
      <c r="B1095" s="84"/>
      <c r="E1095" s="84"/>
      <c r="G1095" s="84"/>
      <c r="H1095" s="85"/>
    </row>
    <row r="1096">
      <c r="A1096" s="84"/>
      <c r="B1096" s="84"/>
      <c r="E1096" s="84"/>
      <c r="G1096" s="84"/>
      <c r="H1096" s="85"/>
    </row>
    <row r="1097">
      <c r="A1097" s="84"/>
      <c r="B1097" s="84"/>
      <c r="E1097" s="84"/>
      <c r="G1097" s="84"/>
      <c r="H1097" s="85"/>
    </row>
    <row r="1098">
      <c r="A1098" s="84"/>
      <c r="B1098" s="84"/>
      <c r="E1098" s="84"/>
      <c r="G1098" s="84"/>
      <c r="H1098" s="85"/>
    </row>
    <row r="1099">
      <c r="A1099" s="84"/>
      <c r="B1099" s="84"/>
      <c r="E1099" s="84"/>
      <c r="G1099" s="84"/>
      <c r="H1099" s="85"/>
    </row>
    <row r="1100">
      <c r="A1100" s="84"/>
      <c r="B1100" s="84"/>
      <c r="E1100" s="84"/>
      <c r="G1100" s="84"/>
      <c r="H1100" s="85"/>
    </row>
    <row r="1101">
      <c r="A1101" s="84"/>
      <c r="B1101" s="84"/>
      <c r="E1101" s="84"/>
      <c r="G1101" s="84"/>
      <c r="H1101" s="85"/>
    </row>
    <row r="1102">
      <c r="A1102" s="84"/>
      <c r="B1102" s="84"/>
      <c r="E1102" s="84"/>
      <c r="G1102" s="84"/>
      <c r="H1102" s="85"/>
    </row>
    <row r="1103">
      <c r="A1103" s="84"/>
      <c r="B1103" s="84"/>
      <c r="E1103" s="84"/>
      <c r="G1103" s="84"/>
      <c r="H1103" s="85"/>
    </row>
    <row r="1104">
      <c r="A1104" s="84"/>
      <c r="B1104" s="84"/>
      <c r="E1104" s="84"/>
      <c r="G1104" s="84"/>
      <c r="H1104" s="85"/>
    </row>
    <row r="1105">
      <c r="A1105" s="84"/>
      <c r="B1105" s="84"/>
      <c r="E1105" s="84"/>
      <c r="G1105" s="84"/>
      <c r="H1105" s="85"/>
    </row>
    <row r="1106">
      <c r="A1106" s="84"/>
      <c r="B1106" s="84"/>
      <c r="E1106" s="84"/>
      <c r="G1106" s="84"/>
      <c r="H1106" s="85"/>
    </row>
    <row r="1107">
      <c r="A1107" s="84"/>
      <c r="B1107" s="84"/>
      <c r="E1107" s="84"/>
      <c r="G1107" s="84"/>
      <c r="H1107" s="85"/>
    </row>
    <row r="1108">
      <c r="A1108" s="84"/>
      <c r="B1108" s="84"/>
      <c r="E1108" s="84"/>
      <c r="G1108" s="84"/>
      <c r="H1108" s="85"/>
    </row>
    <row r="1109">
      <c r="A1109" s="84"/>
      <c r="B1109" s="84"/>
      <c r="E1109" s="84"/>
      <c r="G1109" s="84"/>
      <c r="H1109" s="85"/>
    </row>
    <row r="1110">
      <c r="A1110" s="84"/>
      <c r="B1110" s="84"/>
      <c r="E1110" s="84"/>
      <c r="G1110" s="84"/>
      <c r="H1110" s="85"/>
    </row>
    <row r="1111">
      <c r="A1111" s="84"/>
      <c r="B1111" s="84"/>
      <c r="E1111" s="84"/>
      <c r="G1111" s="84"/>
      <c r="H1111" s="85"/>
    </row>
    <row r="1112">
      <c r="A1112" s="84"/>
      <c r="B1112" s="84"/>
      <c r="E1112" s="84"/>
      <c r="G1112" s="84"/>
      <c r="H1112" s="85"/>
    </row>
    <row r="1113">
      <c r="A1113" s="84"/>
      <c r="B1113" s="84"/>
      <c r="E1113" s="84"/>
      <c r="G1113" s="84"/>
      <c r="H1113" s="85"/>
    </row>
    <row r="1114">
      <c r="A1114" s="84"/>
      <c r="B1114" s="84"/>
      <c r="E1114" s="84"/>
      <c r="G1114" s="84"/>
      <c r="H1114" s="85"/>
    </row>
    <row r="1115">
      <c r="A1115" s="84"/>
      <c r="B1115" s="84"/>
      <c r="E1115" s="84"/>
      <c r="G1115" s="84"/>
      <c r="H1115" s="85"/>
    </row>
    <row r="1116">
      <c r="A1116" s="84"/>
      <c r="B1116" s="84"/>
      <c r="E1116" s="84"/>
      <c r="G1116" s="84"/>
      <c r="H1116" s="85"/>
    </row>
    <row r="1117">
      <c r="A1117" s="84"/>
      <c r="B1117" s="84"/>
      <c r="E1117" s="84"/>
      <c r="G1117" s="84"/>
      <c r="H1117" s="85"/>
    </row>
    <row r="1118">
      <c r="A1118" s="84"/>
      <c r="B1118" s="84"/>
      <c r="E1118" s="84"/>
      <c r="G1118" s="84"/>
      <c r="H1118" s="85"/>
    </row>
    <row r="1119">
      <c r="A1119" s="84"/>
      <c r="B1119" s="84"/>
      <c r="E1119" s="84"/>
      <c r="G1119" s="84"/>
      <c r="H1119" s="85"/>
    </row>
    <row r="1120">
      <c r="A1120" s="84"/>
      <c r="B1120" s="84"/>
      <c r="E1120" s="84"/>
      <c r="G1120" s="84"/>
      <c r="H1120" s="85"/>
    </row>
    <row r="1121">
      <c r="A1121" s="84"/>
      <c r="B1121" s="84"/>
      <c r="E1121" s="84"/>
      <c r="G1121" s="84"/>
      <c r="H1121" s="85"/>
    </row>
    <row r="1122">
      <c r="A1122" s="84"/>
      <c r="B1122" s="84"/>
      <c r="E1122" s="84"/>
      <c r="G1122" s="84"/>
      <c r="H1122" s="85"/>
    </row>
    <row r="1123">
      <c r="A1123" s="84"/>
      <c r="B1123" s="84"/>
      <c r="E1123" s="84"/>
      <c r="G1123" s="84"/>
      <c r="H1123" s="85"/>
    </row>
    <row r="1124">
      <c r="A1124" s="84"/>
      <c r="B1124" s="84"/>
      <c r="E1124" s="84"/>
      <c r="G1124" s="84"/>
      <c r="H1124" s="85"/>
    </row>
    <row r="1125">
      <c r="A1125" s="84"/>
      <c r="B1125" s="84"/>
      <c r="E1125" s="84"/>
      <c r="G1125" s="84"/>
      <c r="H1125" s="85"/>
    </row>
    <row r="1126">
      <c r="A1126" s="84"/>
      <c r="B1126" s="84"/>
      <c r="E1126" s="84"/>
      <c r="G1126" s="84"/>
      <c r="H1126" s="85"/>
    </row>
    <row r="1127">
      <c r="A1127" s="84"/>
      <c r="B1127" s="84"/>
      <c r="E1127" s="84"/>
      <c r="G1127" s="84"/>
      <c r="H1127" s="85"/>
    </row>
    <row r="1128">
      <c r="A1128" s="84"/>
      <c r="B1128" s="84"/>
      <c r="E1128" s="84"/>
      <c r="G1128" s="84"/>
      <c r="H1128" s="85"/>
    </row>
    <row r="1129">
      <c r="A1129" s="84"/>
      <c r="B1129" s="84"/>
      <c r="E1129" s="84"/>
      <c r="G1129" s="84"/>
      <c r="H1129" s="85"/>
    </row>
    <row r="1130">
      <c r="A1130" s="84"/>
      <c r="B1130" s="84"/>
      <c r="E1130" s="84"/>
      <c r="G1130" s="84"/>
      <c r="H1130" s="85"/>
    </row>
    <row r="1131">
      <c r="A1131" s="84"/>
      <c r="B1131" s="84"/>
      <c r="E1131" s="84"/>
      <c r="G1131" s="84"/>
      <c r="H1131" s="85"/>
    </row>
    <row r="1132">
      <c r="A1132" s="84"/>
      <c r="B1132" s="84"/>
      <c r="E1132" s="84"/>
      <c r="G1132" s="84"/>
      <c r="H1132" s="85"/>
    </row>
    <row r="1133">
      <c r="A1133" s="84"/>
      <c r="B1133" s="84"/>
      <c r="E1133" s="84"/>
      <c r="G1133" s="84"/>
      <c r="H1133" s="85"/>
    </row>
    <row r="1134">
      <c r="A1134" s="84"/>
      <c r="B1134" s="84"/>
      <c r="E1134" s="84"/>
      <c r="G1134" s="84"/>
      <c r="H1134" s="85"/>
    </row>
    <row r="1135">
      <c r="A1135" s="84"/>
      <c r="B1135" s="84"/>
      <c r="E1135" s="84"/>
      <c r="G1135" s="84"/>
      <c r="H1135" s="85"/>
    </row>
    <row r="1136">
      <c r="A1136" s="84"/>
      <c r="B1136" s="84"/>
      <c r="E1136" s="84"/>
      <c r="G1136" s="84"/>
      <c r="H1136" s="85"/>
    </row>
    <row r="1137">
      <c r="A1137" s="84"/>
      <c r="B1137" s="84"/>
      <c r="E1137" s="84"/>
      <c r="G1137" s="84"/>
      <c r="H1137" s="85"/>
    </row>
    <row r="1138">
      <c r="A1138" s="84"/>
      <c r="B1138" s="84"/>
      <c r="E1138" s="84"/>
      <c r="G1138" s="84"/>
      <c r="H1138" s="85"/>
    </row>
    <row r="1139">
      <c r="A1139" s="84"/>
      <c r="B1139" s="84"/>
      <c r="E1139" s="84"/>
      <c r="G1139" s="84"/>
      <c r="H1139" s="85"/>
    </row>
    <row r="1140">
      <c r="A1140" s="84"/>
      <c r="B1140" s="84"/>
      <c r="E1140" s="84"/>
      <c r="G1140" s="84"/>
      <c r="H1140" s="85"/>
    </row>
    <row r="1141">
      <c r="A1141" s="84"/>
      <c r="B1141" s="84"/>
      <c r="E1141" s="84"/>
      <c r="G1141" s="84"/>
      <c r="H1141" s="85"/>
    </row>
    <row r="1142">
      <c r="A1142" s="84"/>
      <c r="B1142" s="84"/>
      <c r="E1142" s="84"/>
      <c r="G1142" s="84"/>
      <c r="H1142" s="85"/>
    </row>
    <row r="1143">
      <c r="A1143" s="84"/>
      <c r="B1143" s="84"/>
      <c r="E1143" s="84"/>
      <c r="G1143" s="84"/>
      <c r="H1143" s="85"/>
    </row>
    <row r="1144">
      <c r="A1144" s="84"/>
      <c r="B1144" s="84"/>
      <c r="E1144" s="84"/>
      <c r="G1144" s="84"/>
      <c r="H1144" s="85"/>
    </row>
    <row r="1145">
      <c r="A1145" s="84"/>
      <c r="B1145" s="84"/>
      <c r="E1145" s="84"/>
      <c r="G1145" s="84"/>
      <c r="H1145" s="85"/>
    </row>
    <row r="1146">
      <c r="A1146" s="84"/>
      <c r="B1146" s="84"/>
      <c r="E1146" s="84"/>
      <c r="G1146" s="84"/>
      <c r="H1146" s="85"/>
    </row>
    <row r="1147">
      <c r="A1147" s="84"/>
      <c r="B1147" s="84"/>
      <c r="E1147" s="84"/>
      <c r="G1147" s="84"/>
      <c r="H1147" s="85"/>
    </row>
    <row r="1148">
      <c r="A1148" s="84"/>
      <c r="B1148" s="84"/>
      <c r="E1148" s="84"/>
      <c r="G1148" s="84"/>
      <c r="H1148" s="85"/>
    </row>
    <row r="1149">
      <c r="A1149" s="84"/>
      <c r="B1149" s="84"/>
      <c r="E1149" s="84"/>
      <c r="G1149" s="84"/>
      <c r="H1149" s="85"/>
    </row>
    <row r="1150">
      <c r="A1150" s="84"/>
      <c r="B1150" s="84"/>
      <c r="E1150" s="84"/>
      <c r="G1150" s="84"/>
      <c r="H1150" s="85"/>
    </row>
  </sheetData>
  <mergeCells count="8">
    <mergeCell ref="A1:H2"/>
    <mergeCell ref="A184:C184"/>
    <mergeCell ref="A185:C185"/>
    <mergeCell ref="A186:C186"/>
    <mergeCell ref="A187:C187"/>
    <mergeCell ref="A188:C188"/>
    <mergeCell ref="A189:C189"/>
    <mergeCell ref="A190:C190"/>
  </mergeCells>
  <conditionalFormatting sqref="D4:D1002 F13:F182">
    <cfRule type="expression" dxfId="7" priority="1" stopIfTrue="1">
      <formula>COUNTIF($D$4:$D$1002, D4)&gt;1</formula>
    </cfRule>
  </conditionalFormatting>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38.88"/>
    <col customWidth="1" min="2" max="2" width="21.0"/>
    <col customWidth="1" min="3" max="3" width="9.5"/>
    <col customWidth="1" min="4" max="4" width="12.63"/>
    <col customWidth="1" min="5" max="5" width="19.25"/>
    <col customWidth="1" min="6" max="6" width="8.38"/>
    <col customWidth="1" min="7" max="7" width="15.25"/>
    <col customWidth="1" min="8" max="8" width="9.25"/>
    <col customWidth="1" min="9" max="9" width="14.63"/>
    <col customWidth="1" min="10" max="10" width="8.88"/>
  </cols>
  <sheetData>
    <row r="1">
      <c r="A1" s="92" t="s">
        <v>225</v>
      </c>
      <c r="B1" s="93" t="s">
        <v>226</v>
      </c>
    </row>
    <row r="2">
      <c r="A2" s="94" t="s">
        <v>227</v>
      </c>
      <c r="B2" s="95">
        <f>'Hourly Labor Rates'!E8</f>
        <v>62.937</v>
      </c>
    </row>
    <row r="4">
      <c r="A4" s="96" t="s">
        <v>228</v>
      </c>
      <c r="B4" s="96" t="s">
        <v>6</v>
      </c>
      <c r="C4" s="96" t="s">
        <v>229</v>
      </c>
      <c r="D4" s="96" t="s">
        <v>230</v>
      </c>
      <c r="E4" s="96" t="s">
        <v>231</v>
      </c>
      <c r="F4" s="96" t="s">
        <v>82</v>
      </c>
      <c r="G4" s="96" t="s">
        <v>232</v>
      </c>
      <c r="H4" s="96" t="s">
        <v>233</v>
      </c>
      <c r="I4" s="96" t="s">
        <v>234</v>
      </c>
      <c r="J4" s="96" t="s">
        <v>235</v>
      </c>
    </row>
    <row r="5">
      <c r="A5" s="97" t="s">
        <v>236</v>
      </c>
      <c r="B5" s="98" t="s">
        <v>237</v>
      </c>
      <c r="C5" s="97" t="s">
        <v>238</v>
      </c>
      <c r="D5" s="97" t="s">
        <v>239</v>
      </c>
      <c r="E5" s="99">
        <v>0.1</v>
      </c>
      <c r="F5" s="100">
        <v>5.0</v>
      </c>
      <c r="G5" s="99">
        <v>0.5</v>
      </c>
      <c r="H5" s="100">
        <f t="shared" ref="H5:H27" si="1">F5*(1+G5)</f>
        <v>7.5</v>
      </c>
      <c r="I5" s="97"/>
      <c r="J5" s="100">
        <f t="shared" ref="J5:J27" si="2">$B$2</f>
        <v>62.937</v>
      </c>
    </row>
    <row r="6">
      <c r="A6" s="97" t="s">
        <v>240</v>
      </c>
      <c r="B6" s="98" t="s">
        <v>241</v>
      </c>
      <c r="C6" s="97" t="s">
        <v>242</v>
      </c>
      <c r="D6" s="97" t="s">
        <v>243</v>
      </c>
      <c r="E6" s="99">
        <v>0.05</v>
      </c>
      <c r="F6" s="100">
        <v>2.5</v>
      </c>
      <c r="G6" s="99">
        <v>0.5</v>
      </c>
      <c r="H6" s="100">
        <f t="shared" si="1"/>
        <v>3.75</v>
      </c>
      <c r="I6" s="97"/>
      <c r="J6" s="100">
        <f t="shared" si="2"/>
        <v>62.937</v>
      </c>
    </row>
    <row r="7">
      <c r="A7" s="97" t="s">
        <v>244</v>
      </c>
      <c r="B7" s="98" t="s">
        <v>245</v>
      </c>
      <c r="C7" s="97" t="s">
        <v>238</v>
      </c>
      <c r="D7" s="97" t="s">
        <v>243</v>
      </c>
      <c r="E7" s="99">
        <v>0.05</v>
      </c>
      <c r="F7" s="100">
        <v>15.0</v>
      </c>
      <c r="G7" s="99">
        <v>0.5</v>
      </c>
      <c r="H7" s="100">
        <f t="shared" si="1"/>
        <v>22.5</v>
      </c>
      <c r="I7" s="98" t="s">
        <v>246</v>
      </c>
      <c r="J7" s="100">
        <f t="shared" si="2"/>
        <v>62.937</v>
      </c>
    </row>
    <row r="8">
      <c r="A8" s="97" t="s">
        <v>247</v>
      </c>
      <c r="B8" s="98" t="s">
        <v>248</v>
      </c>
      <c r="C8" s="97" t="s">
        <v>249</v>
      </c>
      <c r="D8" s="97" t="s">
        <v>250</v>
      </c>
      <c r="E8" s="99">
        <v>0.02</v>
      </c>
      <c r="F8" s="100">
        <v>1.2</v>
      </c>
      <c r="G8" s="99">
        <v>0.5</v>
      </c>
      <c r="H8" s="100">
        <f t="shared" si="1"/>
        <v>1.8</v>
      </c>
      <c r="I8" s="97"/>
      <c r="J8" s="100">
        <f t="shared" si="2"/>
        <v>62.937</v>
      </c>
    </row>
    <row r="9">
      <c r="A9" s="97" t="s">
        <v>251</v>
      </c>
      <c r="B9" s="98" t="s">
        <v>252</v>
      </c>
      <c r="C9" s="97" t="s">
        <v>253</v>
      </c>
      <c r="D9" s="97" t="s">
        <v>239</v>
      </c>
      <c r="E9" s="99">
        <v>0.15</v>
      </c>
      <c r="F9" s="100">
        <v>8.0</v>
      </c>
      <c r="G9" s="99">
        <v>0.5</v>
      </c>
      <c r="H9" s="100">
        <f t="shared" si="1"/>
        <v>12</v>
      </c>
      <c r="I9" s="97"/>
      <c r="J9" s="100">
        <f t="shared" si="2"/>
        <v>62.937</v>
      </c>
    </row>
    <row r="10">
      <c r="A10" s="97" t="s">
        <v>254</v>
      </c>
      <c r="B10" s="98" t="s">
        <v>255</v>
      </c>
      <c r="C10" s="97" t="s">
        <v>253</v>
      </c>
      <c r="D10" s="97" t="s">
        <v>256</v>
      </c>
      <c r="E10" s="99">
        <v>0.1</v>
      </c>
      <c r="F10" s="100">
        <v>12.0</v>
      </c>
      <c r="G10" s="99">
        <v>0.5</v>
      </c>
      <c r="H10" s="100">
        <f t="shared" si="1"/>
        <v>18</v>
      </c>
      <c r="I10" s="97"/>
      <c r="J10" s="100">
        <f t="shared" si="2"/>
        <v>62.937</v>
      </c>
    </row>
    <row r="11">
      <c r="A11" s="97" t="s">
        <v>257</v>
      </c>
      <c r="B11" s="98" t="s">
        <v>258</v>
      </c>
      <c r="C11" s="97" t="s">
        <v>259</v>
      </c>
      <c r="D11" s="97" t="s">
        <v>239</v>
      </c>
      <c r="E11" s="99">
        <v>0.2</v>
      </c>
      <c r="F11" s="100">
        <v>25.0</v>
      </c>
      <c r="G11" s="99">
        <v>0.5</v>
      </c>
      <c r="H11" s="100">
        <f t="shared" si="1"/>
        <v>37.5</v>
      </c>
      <c r="I11" s="97"/>
      <c r="J11" s="100">
        <f t="shared" si="2"/>
        <v>62.937</v>
      </c>
    </row>
    <row r="12">
      <c r="A12" s="97" t="s">
        <v>260</v>
      </c>
      <c r="B12" s="98" t="s">
        <v>261</v>
      </c>
      <c r="C12" s="97" t="s">
        <v>262</v>
      </c>
      <c r="D12" s="97" t="s">
        <v>263</v>
      </c>
      <c r="E12" s="99">
        <v>0.1</v>
      </c>
      <c r="F12" s="101">
        <v>2.0</v>
      </c>
      <c r="G12" s="99">
        <v>0.5</v>
      </c>
      <c r="H12" s="100">
        <f t="shared" si="1"/>
        <v>3</v>
      </c>
      <c r="I12" s="98" t="s">
        <v>246</v>
      </c>
      <c r="J12" s="100">
        <f t="shared" si="2"/>
        <v>62.937</v>
      </c>
    </row>
    <row r="13">
      <c r="A13" s="98" t="s">
        <v>264</v>
      </c>
      <c r="B13" s="98" t="s">
        <v>265</v>
      </c>
      <c r="C13" s="97" t="s">
        <v>262</v>
      </c>
      <c r="D13" s="98" t="s">
        <v>266</v>
      </c>
      <c r="E13" s="102">
        <v>0.1</v>
      </c>
      <c r="F13" s="101">
        <v>26.0</v>
      </c>
      <c r="G13" s="99">
        <v>0.5</v>
      </c>
      <c r="H13" s="100">
        <f t="shared" si="1"/>
        <v>39</v>
      </c>
      <c r="I13" s="98" t="s">
        <v>246</v>
      </c>
      <c r="J13" s="100">
        <f t="shared" si="2"/>
        <v>62.937</v>
      </c>
    </row>
    <row r="14">
      <c r="A14" s="98" t="s">
        <v>267</v>
      </c>
      <c r="B14" s="98" t="s">
        <v>268</v>
      </c>
      <c r="C14" s="97" t="s">
        <v>262</v>
      </c>
      <c r="D14" s="98" t="s">
        <v>266</v>
      </c>
      <c r="E14" s="102">
        <v>0.1</v>
      </c>
      <c r="F14" s="101">
        <v>28.0</v>
      </c>
      <c r="G14" s="99">
        <v>0.5</v>
      </c>
      <c r="H14" s="100">
        <f t="shared" si="1"/>
        <v>42</v>
      </c>
      <c r="I14" s="98" t="s">
        <v>246</v>
      </c>
      <c r="J14" s="100">
        <f t="shared" si="2"/>
        <v>62.937</v>
      </c>
    </row>
    <row r="15">
      <c r="A15" s="98" t="s">
        <v>269</v>
      </c>
      <c r="B15" s="98" t="s">
        <v>270</v>
      </c>
      <c r="C15" s="97" t="s">
        <v>262</v>
      </c>
      <c r="D15" s="98" t="s">
        <v>266</v>
      </c>
      <c r="E15" s="102">
        <v>0.1</v>
      </c>
      <c r="F15" s="101">
        <v>30.0</v>
      </c>
      <c r="G15" s="99">
        <v>0.5</v>
      </c>
      <c r="H15" s="100">
        <f t="shared" si="1"/>
        <v>45</v>
      </c>
      <c r="I15" s="98" t="s">
        <v>246</v>
      </c>
      <c r="J15" s="100">
        <f t="shared" si="2"/>
        <v>62.937</v>
      </c>
    </row>
    <row r="16">
      <c r="A16" s="97" t="s">
        <v>271</v>
      </c>
      <c r="B16" s="98" t="s">
        <v>272</v>
      </c>
      <c r="C16" s="97" t="s">
        <v>273</v>
      </c>
      <c r="D16" s="97" t="s">
        <v>274</v>
      </c>
      <c r="E16" s="99">
        <v>0.05</v>
      </c>
      <c r="F16" s="101">
        <v>50.0</v>
      </c>
      <c r="G16" s="99">
        <v>0.5</v>
      </c>
      <c r="H16" s="100">
        <f t="shared" si="1"/>
        <v>75</v>
      </c>
      <c r="I16" s="97"/>
      <c r="J16" s="100">
        <f t="shared" si="2"/>
        <v>62.937</v>
      </c>
    </row>
    <row r="17">
      <c r="A17" s="98" t="s">
        <v>275</v>
      </c>
      <c r="B17" s="98" t="s">
        <v>276</v>
      </c>
      <c r="C17" s="97" t="s">
        <v>277</v>
      </c>
      <c r="D17" s="97" t="s">
        <v>278</v>
      </c>
      <c r="E17" s="99">
        <v>0.1</v>
      </c>
      <c r="F17" s="101">
        <v>26.0</v>
      </c>
      <c r="G17" s="99">
        <v>0.5</v>
      </c>
      <c r="H17" s="100">
        <f t="shared" si="1"/>
        <v>39</v>
      </c>
      <c r="I17" s="97"/>
      <c r="J17" s="100">
        <f t="shared" si="2"/>
        <v>62.937</v>
      </c>
    </row>
    <row r="18">
      <c r="A18" s="98" t="s">
        <v>279</v>
      </c>
      <c r="B18" s="98" t="s">
        <v>280</v>
      </c>
      <c r="C18" s="98" t="s">
        <v>277</v>
      </c>
      <c r="D18" s="98" t="s">
        <v>278</v>
      </c>
      <c r="E18" s="102">
        <v>0.15</v>
      </c>
      <c r="F18" s="101">
        <v>18.0</v>
      </c>
      <c r="G18" s="102">
        <v>0.5</v>
      </c>
      <c r="H18" s="100">
        <f t="shared" si="1"/>
        <v>27</v>
      </c>
      <c r="I18" s="97"/>
      <c r="J18" s="100">
        <f t="shared" si="2"/>
        <v>62.937</v>
      </c>
    </row>
    <row r="19">
      <c r="A19" s="97" t="s">
        <v>281</v>
      </c>
      <c r="B19" s="98" t="s">
        <v>282</v>
      </c>
      <c r="C19" s="97" t="s">
        <v>273</v>
      </c>
      <c r="D19" s="97" t="s">
        <v>250</v>
      </c>
      <c r="E19" s="99">
        <v>0.0</v>
      </c>
      <c r="F19" s="100">
        <v>30.0</v>
      </c>
      <c r="G19" s="99">
        <v>0.5</v>
      </c>
      <c r="H19" s="100">
        <f t="shared" si="1"/>
        <v>45</v>
      </c>
      <c r="I19" s="97"/>
      <c r="J19" s="100">
        <f t="shared" si="2"/>
        <v>62.937</v>
      </c>
    </row>
    <row r="20">
      <c r="A20" s="97" t="s">
        <v>283</v>
      </c>
      <c r="B20" s="98" t="s">
        <v>284</v>
      </c>
      <c r="C20" s="97" t="s">
        <v>273</v>
      </c>
      <c r="D20" s="97" t="s">
        <v>285</v>
      </c>
      <c r="E20" s="99">
        <v>0.05</v>
      </c>
      <c r="F20" s="100">
        <v>25.0</v>
      </c>
      <c r="G20" s="99">
        <v>0.5</v>
      </c>
      <c r="H20" s="100">
        <f t="shared" si="1"/>
        <v>37.5</v>
      </c>
      <c r="I20" s="97"/>
      <c r="J20" s="100">
        <f t="shared" si="2"/>
        <v>62.937</v>
      </c>
    </row>
    <row r="21">
      <c r="A21" s="97" t="s">
        <v>286</v>
      </c>
      <c r="B21" s="98" t="s">
        <v>287</v>
      </c>
      <c r="C21" s="97" t="s">
        <v>259</v>
      </c>
      <c r="D21" s="97" t="s">
        <v>239</v>
      </c>
      <c r="E21" s="99">
        <v>0.1</v>
      </c>
      <c r="F21" s="100">
        <v>6.0</v>
      </c>
      <c r="G21" s="99">
        <v>0.5</v>
      </c>
      <c r="H21" s="100">
        <f t="shared" si="1"/>
        <v>9</v>
      </c>
      <c r="I21" s="97"/>
      <c r="J21" s="100">
        <f t="shared" si="2"/>
        <v>62.937</v>
      </c>
    </row>
    <row r="22">
      <c r="A22" s="97" t="s">
        <v>288</v>
      </c>
      <c r="B22" s="98" t="s">
        <v>289</v>
      </c>
      <c r="C22" s="97" t="s">
        <v>290</v>
      </c>
      <c r="D22" s="97" t="s">
        <v>256</v>
      </c>
      <c r="E22" s="99">
        <v>0.15</v>
      </c>
      <c r="F22" s="100">
        <v>14.0</v>
      </c>
      <c r="G22" s="99">
        <v>0.5</v>
      </c>
      <c r="H22" s="100">
        <f t="shared" si="1"/>
        <v>21</v>
      </c>
      <c r="I22" s="98" t="s">
        <v>246</v>
      </c>
      <c r="J22" s="100">
        <f t="shared" si="2"/>
        <v>62.937</v>
      </c>
    </row>
    <row r="23">
      <c r="A23" s="97" t="s">
        <v>291</v>
      </c>
      <c r="B23" s="98" t="s">
        <v>292</v>
      </c>
      <c r="C23" s="97" t="s">
        <v>259</v>
      </c>
      <c r="D23" s="97" t="s">
        <v>239</v>
      </c>
      <c r="E23" s="99">
        <v>0.1</v>
      </c>
      <c r="F23" s="100">
        <v>40.0</v>
      </c>
      <c r="G23" s="99">
        <v>0.5</v>
      </c>
      <c r="H23" s="100">
        <f t="shared" si="1"/>
        <v>60</v>
      </c>
      <c r="I23" s="97"/>
      <c r="J23" s="100">
        <f t="shared" si="2"/>
        <v>62.937</v>
      </c>
    </row>
    <row r="24">
      <c r="A24" s="97" t="s">
        <v>293</v>
      </c>
      <c r="B24" s="98" t="s">
        <v>294</v>
      </c>
      <c r="C24" s="97" t="s">
        <v>259</v>
      </c>
      <c r="D24" s="97" t="s">
        <v>239</v>
      </c>
      <c r="E24" s="99">
        <v>0.1</v>
      </c>
      <c r="F24" s="100">
        <v>15.0</v>
      </c>
      <c r="G24" s="99">
        <v>0.5</v>
      </c>
      <c r="H24" s="100">
        <f t="shared" si="1"/>
        <v>22.5</v>
      </c>
      <c r="I24" s="97"/>
      <c r="J24" s="100">
        <f t="shared" si="2"/>
        <v>62.937</v>
      </c>
    </row>
    <row r="25">
      <c r="A25" s="97" t="s">
        <v>295</v>
      </c>
      <c r="B25" s="98" t="s">
        <v>296</v>
      </c>
      <c r="C25" s="97" t="s">
        <v>253</v>
      </c>
      <c r="D25" s="97" t="s">
        <v>250</v>
      </c>
      <c r="E25" s="99">
        <v>0.02</v>
      </c>
      <c r="F25" s="100">
        <v>1.5</v>
      </c>
      <c r="G25" s="99">
        <v>0.5</v>
      </c>
      <c r="H25" s="100">
        <f t="shared" si="1"/>
        <v>2.25</v>
      </c>
      <c r="I25" s="97"/>
      <c r="J25" s="100">
        <f t="shared" si="2"/>
        <v>62.937</v>
      </c>
    </row>
    <row r="26">
      <c r="A26" s="97" t="s">
        <v>297</v>
      </c>
      <c r="B26" s="98" t="s">
        <v>298</v>
      </c>
      <c r="C26" s="97" t="s">
        <v>253</v>
      </c>
      <c r="D26" s="97" t="s">
        <v>299</v>
      </c>
      <c r="E26" s="99">
        <v>0.05</v>
      </c>
      <c r="F26" s="100">
        <v>5.0</v>
      </c>
      <c r="G26" s="99">
        <v>0.5</v>
      </c>
      <c r="H26" s="100">
        <f t="shared" si="1"/>
        <v>7.5</v>
      </c>
      <c r="I26" s="97"/>
      <c r="J26" s="100">
        <f t="shared" si="2"/>
        <v>62.937</v>
      </c>
    </row>
    <row r="27">
      <c r="A27" s="97" t="s">
        <v>300</v>
      </c>
      <c r="B27" s="98" t="s">
        <v>301</v>
      </c>
      <c r="C27" s="97" t="s">
        <v>302</v>
      </c>
      <c r="D27" s="97" t="s">
        <v>303</v>
      </c>
      <c r="E27" s="99">
        <v>0.05</v>
      </c>
      <c r="F27" s="100">
        <v>8.0</v>
      </c>
      <c r="G27" s="99">
        <v>0.5</v>
      </c>
      <c r="H27" s="100">
        <f t="shared" si="1"/>
        <v>12</v>
      </c>
      <c r="I27" s="98" t="s">
        <v>246</v>
      </c>
      <c r="J27" s="100">
        <f t="shared" si="2"/>
        <v>62.937</v>
      </c>
    </row>
    <row r="29">
      <c r="A29" s="92" t="s">
        <v>38</v>
      </c>
    </row>
    <row r="30">
      <c r="A30" s="103" t="s">
        <v>304</v>
      </c>
      <c r="B30" s="90"/>
      <c r="C30" s="91"/>
    </row>
    <row r="31">
      <c r="A31" s="103" t="s">
        <v>305</v>
      </c>
      <c r="B31" s="90"/>
      <c r="C31" s="91"/>
    </row>
    <row r="32">
      <c r="A32" s="103" t="s">
        <v>306</v>
      </c>
      <c r="B32" s="90"/>
      <c r="C32" s="91"/>
    </row>
    <row r="33">
      <c r="A33" s="103" t="s">
        <v>307</v>
      </c>
      <c r="B33" s="90"/>
      <c r="C33" s="91"/>
    </row>
    <row r="34">
      <c r="A34" s="103" t="s">
        <v>308</v>
      </c>
      <c r="B34" s="90"/>
      <c r="C34" s="91"/>
    </row>
  </sheetData>
  <mergeCells count="5">
    <mergeCell ref="A30:C30"/>
    <mergeCell ref="A31:C31"/>
    <mergeCell ref="A32:C32"/>
    <mergeCell ref="A33:C33"/>
    <mergeCell ref="A34:C34"/>
  </mergeCell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1" width="51.25"/>
    <col customWidth="1" min="2" max="2" width="28.5"/>
    <col customWidth="1" min="3" max="3" width="30.63"/>
    <col customWidth="1" min="4" max="4" width="30.0"/>
    <col customWidth="1" min="5" max="5" width="31.5"/>
    <col customWidth="1" min="6" max="6" width="8.25"/>
  </cols>
  <sheetData>
    <row r="1">
      <c r="A1" s="104" t="s">
        <v>309</v>
      </c>
      <c r="B1" s="105"/>
      <c r="C1" s="105"/>
      <c r="D1" s="105"/>
      <c r="E1" s="105"/>
      <c r="F1" s="105"/>
      <c r="G1" s="105"/>
      <c r="H1" s="105"/>
      <c r="I1" s="105"/>
      <c r="J1" s="105"/>
      <c r="K1" s="105"/>
      <c r="L1" s="105"/>
      <c r="M1" s="105"/>
      <c r="N1" s="105"/>
      <c r="O1" s="105"/>
      <c r="P1" s="105"/>
      <c r="Q1" s="105"/>
      <c r="R1" s="105"/>
      <c r="S1" s="105"/>
      <c r="T1" s="105"/>
      <c r="U1" s="105"/>
      <c r="V1" s="105"/>
      <c r="W1" s="105"/>
      <c r="X1" s="105"/>
      <c r="Y1" s="105"/>
      <c r="Z1" s="105"/>
    </row>
    <row r="2">
      <c r="A2" s="105"/>
      <c r="B2" s="106"/>
      <c r="C2" s="105"/>
      <c r="D2" s="105"/>
      <c r="E2" s="106"/>
      <c r="F2" s="105"/>
      <c r="G2" s="105"/>
      <c r="H2" s="105"/>
      <c r="I2" s="105"/>
      <c r="J2" s="105"/>
      <c r="K2" s="105"/>
      <c r="L2" s="105"/>
      <c r="M2" s="105"/>
      <c r="N2" s="105"/>
      <c r="O2" s="105"/>
      <c r="P2" s="105"/>
      <c r="Q2" s="105"/>
      <c r="R2" s="105"/>
      <c r="S2" s="105"/>
      <c r="T2" s="105"/>
      <c r="U2" s="105"/>
      <c r="V2" s="105"/>
      <c r="W2" s="105"/>
      <c r="X2" s="105"/>
      <c r="Y2" s="105"/>
      <c r="Z2" s="105"/>
    </row>
    <row r="3">
      <c r="A3" s="107" t="s">
        <v>310</v>
      </c>
      <c r="B3" s="107" t="s">
        <v>311</v>
      </c>
      <c r="C3" s="107" t="s">
        <v>312</v>
      </c>
      <c r="D3" s="107" t="s">
        <v>313</v>
      </c>
      <c r="E3" s="108" t="s">
        <v>314</v>
      </c>
      <c r="F3" s="107" t="s">
        <v>315</v>
      </c>
      <c r="G3" s="105"/>
      <c r="H3" s="105"/>
      <c r="I3" s="105"/>
      <c r="J3" s="105"/>
      <c r="K3" s="105"/>
      <c r="L3" s="105"/>
      <c r="M3" s="105"/>
      <c r="N3" s="105"/>
      <c r="O3" s="105"/>
      <c r="P3" s="105"/>
      <c r="Q3" s="105"/>
      <c r="R3" s="105"/>
      <c r="S3" s="105"/>
      <c r="T3" s="105"/>
      <c r="U3" s="105"/>
      <c r="V3" s="105"/>
      <c r="W3" s="105"/>
      <c r="X3" s="105"/>
      <c r="Y3" s="105"/>
      <c r="Z3" s="105"/>
    </row>
    <row r="4">
      <c r="A4" s="109" t="s">
        <v>316</v>
      </c>
      <c r="B4" s="110">
        <v>46203.0</v>
      </c>
      <c r="C4" s="109" t="s">
        <v>317</v>
      </c>
      <c r="D4" s="109" t="s">
        <v>318</v>
      </c>
      <c r="E4" s="111" t="s">
        <v>319</v>
      </c>
      <c r="F4" s="109" t="s">
        <v>320</v>
      </c>
      <c r="G4" s="105"/>
      <c r="H4" s="105"/>
      <c r="I4" s="105"/>
      <c r="J4" s="105"/>
      <c r="K4" s="105"/>
      <c r="L4" s="105"/>
      <c r="M4" s="105"/>
      <c r="N4" s="105"/>
      <c r="O4" s="105"/>
      <c r="P4" s="105"/>
      <c r="Q4" s="105"/>
      <c r="R4" s="105"/>
      <c r="S4" s="105"/>
      <c r="T4" s="105"/>
      <c r="U4" s="105"/>
      <c r="V4" s="105"/>
      <c r="W4" s="105"/>
      <c r="X4" s="105"/>
      <c r="Y4" s="105"/>
      <c r="Z4" s="105"/>
    </row>
    <row r="5">
      <c r="A5" s="105"/>
      <c r="B5" s="105"/>
      <c r="C5" s="105"/>
      <c r="D5" s="105"/>
      <c r="E5" s="112"/>
      <c r="F5" s="105"/>
      <c r="G5" s="105"/>
      <c r="H5" s="105"/>
      <c r="I5" s="105"/>
      <c r="J5" s="105"/>
      <c r="K5" s="105"/>
      <c r="L5" s="105"/>
      <c r="M5" s="105"/>
      <c r="N5" s="105"/>
      <c r="O5" s="105"/>
      <c r="P5" s="105"/>
      <c r="Q5" s="105"/>
      <c r="R5" s="105"/>
      <c r="S5" s="105"/>
      <c r="T5" s="105"/>
      <c r="U5" s="105"/>
      <c r="V5" s="105"/>
      <c r="W5" s="105"/>
      <c r="X5" s="105"/>
      <c r="Y5" s="105"/>
      <c r="Z5" s="105"/>
    </row>
    <row r="6">
      <c r="A6" s="104" t="s">
        <v>321</v>
      </c>
      <c r="B6" s="106"/>
      <c r="C6" s="105"/>
      <c r="D6" s="105"/>
      <c r="E6" s="112"/>
      <c r="F6" s="105"/>
      <c r="G6" s="105"/>
      <c r="H6" s="105"/>
      <c r="I6" s="105"/>
      <c r="J6" s="105"/>
      <c r="K6" s="105"/>
      <c r="L6" s="105"/>
      <c r="M6" s="105"/>
      <c r="N6" s="105"/>
      <c r="O6" s="105"/>
      <c r="P6" s="105"/>
      <c r="Q6" s="105"/>
      <c r="R6" s="105"/>
      <c r="S6" s="105"/>
      <c r="T6" s="105"/>
      <c r="U6" s="105"/>
      <c r="V6" s="105"/>
      <c r="W6" s="105"/>
      <c r="X6" s="105"/>
      <c r="Y6" s="105"/>
      <c r="Z6" s="105"/>
    </row>
    <row r="7">
      <c r="A7" s="113" t="s">
        <v>322</v>
      </c>
      <c r="B7" s="114"/>
      <c r="C7" s="114"/>
      <c r="D7" s="114"/>
      <c r="E7" s="114"/>
      <c r="F7" s="115"/>
      <c r="G7" s="105"/>
      <c r="H7" s="105"/>
      <c r="I7" s="105"/>
      <c r="J7" s="105"/>
      <c r="K7" s="105"/>
      <c r="L7" s="105"/>
      <c r="M7" s="105"/>
      <c r="N7" s="105"/>
      <c r="O7" s="105"/>
      <c r="P7" s="105"/>
      <c r="Q7" s="105"/>
      <c r="R7" s="105"/>
      <c r="S7" s="105"/>
      <c r="T7" s="105"/>
      <c r="U7" s="105"/>
      <c r="V7" s="105"/>
      <c r="W7" s="105"/>
      <c r="X7" s="105"/>
      <c r="Y7" s="105"/>
      <c r="Z7" s="105"/>
    </row>
    <row r="8">
      <c r="A8" s="105"/>
      <c r="B8" s="106"/>
      <c r="C8" s="106"/>
      <c r="D8" s="105"/>
      <c r="E8" s="112"/>
      <c r="F8" s="105"/>
      <c r="G8" s="105"/>
      <c r="H8" s="105"/>
      <c r="I8" s="105"/>
      <c r="J8" s="105"/>
      <c r="K8" s="105"/>
      <c r="L8" s="105"/>
      <c r="M8" s="105"/>
      <c r="N8" s="105"/>
      <c r="O8" s="105"/>
      <c r="P8" s="105"/>
      <c r="Q8" s="105"/>
      <c r="R8" s="105"/>
      <c r="S8" s="105"/>
      <c r="T8" s="105"/>
      <c r="U8" s="105"/>
      <c r="V8" s="105"/>
      <c r="W8" s="105"/>
      <c r="X8" s="105"/>
      <c r="Y8" s="105"/>
      <c r="Z8" s="105"/>
    </row>
    <row r="9">
      <c r="A9" s="104" t="s">
        <v>323</v>
      </c>
      <c r="B9" s="106"/>
      <c r="C9" s="106"/>
      <c r="D9" s="105"/>
      <c r="E9" s="112"/>
      <c r="F9" s="105"/>
      <c r="G9" s="105"/>
      <c r="H9" s="105"/>
      <c r="I9" s="105"/>
      <c r="J9" s="105"/>
      <c r="K9" s="105"/>
      <c r="L9" s="105"/>
      <c r="M9" s="105"/>
      <c r="N9" s="105"/>
      <c r="O9" s="105"/>
      <c r="P9" s="105"/>
      <c r="Q9" s="105"/>
      <c r="R9" s="105"/>
      <c r="S9" s="105"/>
      <c r="T9" s="105"/>
      <c r="U9" s="105"/>
      <c r="V9" s="105"/>
      <c r="W9" s="105"/>
      <c r="X9" s="105"/>
      <c r="Y9" s="105"/>
      <c r="Z9" s="105"/>
    </row>
    <row r="10">
      <c r="A10" s="107" t="s">
        <v>324</v>
      </c>
      <c r="B10" s="107" t="s">
        <v>128</v>
      </c>
      <c r="C10" s="107" t="s">
        <v>325</v>
      </c>
      <c r="D10" s="105"/>
      <c r="E10" s="112"/>
      <c r="F10" s="105"/>
      <c r="G10" s="105"/>
      <c r="H10" s="105"/>
      <c r="I10" s="105"/>
      <c r="J10" s="105"/>
      <c r="K10" s="105"/>
      <c r="L10" s="105"/>
      <c r="M10" s="105"/>
      <c r="N10" s="105"/>
      <c r="O10" s="105"/>
      <c r="P10" s="105"/>
      <c r="Q10" s="105"/>
      <c r="R10" s="105"/>
      <c r="S10" s="105"/>
      <c r="T10" s="105"/>
      <c r="U10" s="105"/>
      <c r="V10" s="105"/>
      <c r="W10" s="105"/>
      <c r="X10" s="105"/>
      <c r="Y10" s="105"/>
      <c r="Z10" s="105"/>
    </row>
    <row r="11">
      <c r="A11" s="109" t="s">
        <v>326</v>
      </c>
      <c r="B11" s="116" t="s">
        <v>327</v>
      </c>
      <c r="C11" s="117" t="s">
        <v>328</v>
      </c>
      <c r="D11" s="105"/>
      <c r="E11" s="112"/>
      <c r="F11" s="105"/>
      <c r="G11" s="105"/>
      <c r="H11" s="105"/>
      <c r="I11" s="105"/>
      <c r="J11" s="105"/>
      <c r="K11" s="105"/>
      <c r="L11" s="105"/>
      <c r="M11" s="105"/>
      <c r="N11" s="105"/>
      <c r="O11" s="105"/>
      <c r="P11" s="105"/>
      <c r="Q11" s="105"/>
      <c r="R11" s="105"/>
      <c r="S11" s="105"/>
      <c r="T11" s="105"/>
      <c r="U11" s="105"/>
      <c r="V11" s="105"/>
      <c r="W11" s="105"/>
      <c r="X11" s="105"/>
      <c r="Y11" s="105"/>
      <c r="Z11" s="105"/>
    </row>
    <row r="12">
      <c r="A12" s="109" t="s">
        <v>329</v>
      </c>
      <c r="B12" s="116" t="s">
        <v>330</v>
      </c>
      <c r="C12" s="117" t="s">
        <v>331</v>
      </c>
      <c r="D12" s="105"/>
      <c r="E12" s="112"/>
      <c r="F12" s="105"/>
      <c r="G12" s="105"/>
      <c r="H12" s="105"/>
      <c r="I12" s="105"/>
      <c r="J12" s="105"/>
      <c r="K12" s="105"/>
      <c r="L12" s="105"/>
      <c r="M12" s="105"/>
      <c r="N12" s="105"/>
      <c r="O12" s="105"/>
      <c r="P12" s="105"/>
      <c r="Q12" s="105"/>
      <c r="R12" s="105"/>
      <c r="S12" s="105"/>
      <c r="T12" s="105"/>
      <c r="U12" s="105"/>
      <c r="V12" s="105"/>
      <c r="W12" s="105"/>
      <c r="X12" s="105"/>
      <c r="Y12" s="105"/>
      <c r="Z12" s="105"/>
    </row>
    <row r="13">
      <c r="A13" s="109" t="s">
        <v>332</v>
      </c>
      <c r="B13" s="116" t="s">
        <v>333</v>
      </c>
      <c r="C13" s="117" t="s">
        <v>334</v>
      </c>
      <c r="D13" s="105"/>
      <c r="E13" s="112"/>
      <c r="F13" s="105"/>
      <c r="G13" s="105"/>
      <c r="H13" s="105"/>
      <c r="I13" s="105"/>
      <c r="J13" s="105"/>
      <c r="K13" s="105"/>
      <c r="L13" s="105"/>
      <c r="M13" s="105"/>
      <c r="N13" s="105"/>
      <c r="O13" s="105"/>
      <c r="P13" s="105"/>
      <c r="Q13" s="105"/>
      <c r="R13" s="105"/>
      <c r="S13" s="105"/>
      <c r="T13" s="105"/>
      <c r="U13" s="105"/>
      <c r="V13" s="105"/>
      <c r="W13" s="105"/>
      <c r="X13" s="105"/>
      <c r="Y13" s="105"/>
      <c r="Z13" s="105"/>
    </row>
    <row r="14">
      <c r="A14" s="109" t="s">
        <v>335</v>
      </c>
      <c r="B14" s="116" t="s">
        <v>336</v>
      </c>
      <c r="C14" s="117" t="s">
        <v>334</v>
      </c>
      <c r="D14" s="105"/>
      <c r="E14" s="112"/>
      <c r="F14" s="105"/>
      <c r="G14" s="105"/>
      <c r="H14" s="105"/>
      <c r="I14" s="105"/>
      <c r="J14" s="105"/>
      <c r="K14" s="105"/>
      <c r="L14" s="105"/>
      <c r="M14" s="105"/>
      <c r="N14" s="105"/>
      <c r="O14" s="105"/>
      <c r="P14" s="105"/>
      <c r="Q14" s="105"/>
      <c r="R14" s="105"/>
      <c r="S14" s="105"/>
      <c r="T14" s="105"/>
      <c r="U14" s="105"/>
      <c r="V14" s="105"/>
      <c r="W14" s="105"/>
      <c r="X14" s="105"/>
      <c r="Y14" s="105"/>
      <c r="Z14" s="105"/>
    </row>
    <row r="15">
      <c r="A15" s="109" t="s">
        <v>337</v>
      </c>
      <c r="B15" s="116" t="s">
        <v>338</v>
      </c>
      <c r="C15" s="117" t="s">
        <v>334</v>
      </c>
      <c r="D15" s="105"/>
      <c r="E15" s="112"/>
      <c r="F15" s="105"/>
      <c r="G15" s="105"/>
      <c r="H15" s="105"/>
      <c r="I15" s="105"/>
      <c r="J15" s="105"/>
      <c r="K15" s="105"/>
      <c r="L15" s="105"/>
      <c r="M15" s="105"/>
      <c r="N15" s="105"/>
      <c r="O15" s="105"/>
      <c r="P15" s="105"/>
      <c r="Q15" s="105"/>
      <c r="R15" s="105"/>
      <c r="S15" s="105"/>
      <c r="T15" s="105"/>
      <c r="U15" s="105"/>
      <c r="V15" s="105"/>
      <c r="W15" s="105"/>
      <c r="X15" s="105"/>
      <c r="Y15" s="105"/>
      <c r="Z15" s="105"/>
    </row>
    <row r="16">
      <c r="A16" s="109" t="s">
        <v>339</v>
      </c>
      <c r="B16" s="116" t="s">
        <v>340</v>
      </c>
      <c r="C16" s="117" t="s">
        <v>341</v>
      </c>
      <c r="D16" s="105"/>
      <c r="E16" s="112"/>
      <c r="F16" s="105"/>
      <c r="G16" s="105"/>
      <c r="H16" s="105"/>
      <c r="I16" s="105"/>
      <c r="J16" s="105"/>
      <c r="K16" s="105"/>
      <c r="L16" s="105"/>
      <c r="M16" s="105"/>
      <c r="N16" s="105"/>
      <c r="O16" s="105"/>
      <c r="P16" s="105"/>
      <c r="Q16" s="105"/>
      <c r="R16" s="105"/>
      <c r="S16" s="105"/>
      <c r="T16" s="105"/>
      <c r="U16" s="105"/>
      <c r="V16" s="105"/>
      <c r="W16" s="105"/>
      <c r="X16" s="105"/>
      <c r="Y16" s="105"/>
      <c r="Z16" s="105"/>
    </row>
    <row r="17">
      <c r="A17" s="105"/>
      <c r="B17" s="118"/>
      <c r="C17" s="118"/>
      <c r="D17" s="105"/>
      <c r="E17" s="112"/>
      <c r="F17" s="105"/>
      <c r="G17" s="105"/>
      <c r="H17" s="105"/>
      <c r="I17" s="105"/>
      <c r="J17" s="105"/>
      <c r="K17" s="105"/>
      <c r="L17" s="105"/>
      <c r="M17" s="105"/>
      <c r="N17" s="105"/>
      <c r="O17" s="105"/>
      <c r="P17" s="105"/>
      <c r="Q17" s="105"/>
      <c r="R17" s="105"/>
      <c r="S17" s="105"/>
      <c r="T17" s="105"/>
      <c r="U17" s="105"/>
      <c r="V17" s="105"/>
      <c r="W17" s="105"/>
      <c r="X17" s="105"/>
      <c r="Y17" s="105"/>
      <c r="Z17" s="105"/>
    </row>
    <row r="18">
      <c r="A18" s="105"/>
      <c r="B18" s="105"/>
      <c r="C18" s="105"/>
      <c r="D18" s="105"/>
      <c r="E18" s="112"/>
      <c r="F18" s="105"/>
      <c r="G18" s="105"/>
      <c r="H18" s="105"/>
      <c r="I18" s="105"/>
      <c r="J18" s="105"/>
      <c r="K18" s="105"/>
      <c r="L18" s="105"/>
      <c r="M18" s="105"/>
      <c r="N18" s="105"/>
      <c r="O18" s="105"/>
      <c r="P18" s="105"/>
      <c r="Q18" s="105"/>
      <c r="R18" s="105"/>
      <c r="S18" s="105"/>
      <c r="T18" s="105"/>
      <c r="U18" s="105"/>
      <c r="V18" s="105"/>
      <c r="W18" s="105"/>
      <c r="X18" s="105"/>
      <c r="Y18" s="105"/>
      <c r="Z18" s="105"/>
    </row>
    <row r="19">
      <c r="A19" s="105"/>
      <c r="B19" s="105"/>
      <c r="C19" s="105"/>
      <c r="D19" s="105"/>
      <c r="E19" s="112"/>
      <c r="F19" s="105"/>
      <c r="G19" s="105"/>
      <c r="H19" s="105"/>
      <c r="I19" s="105"/>
      <c r="J19" s="105"/>
      <c r="K19" s="105"/>
      <c r="L19" s="105"/>
      <c r="M19" s="105"/>
      <c r="N19" s="105"/>
      <c r="O19" s="105"/>
      <c r="P19" s="105"/>
      <c r="Q19" s="105"/>
      <c r="R19" s="105"/>
      <c r="S19" s="105"/>
      <c r="T19" s="105"/>
      <c r="U19" s="105"/>
      <c r="V19" s="105"/>
      <c r="W19" s="105"/>
      <c r="X19" s="105"/>
      <c r="Y19" s="105"/>
      <c r="Z19" s="105"/>
    </row>
    <row r="20">
      <c r="A20" s="105"/>
      <c r="B20" s="105"/>
      <c r="C20" s="105"/>
      <c r="D20" s="105"/>
      <c r="E20" s="112"/>
      <c r="F20" s="105"/>
      <c r="G20" s="105"/>
      <c r="H20" s="105"/>
      <c r="I20" s="105"/>
      <c r="J20" s="105"/>
      <c r="K20" s="105"/>
      <c r="L20" s="105"/>
      <c r="M20" s="105"/>
      <c r="N20" s="105"/>
      <c r="O20" s="105"/>
      <c r="P20" s="105"/>
      <c r="Q20" s="105"/>
      <c r="R20" s="105"/>
      <c r="S20" s="105"/>
      <c r="T20" s="105"/>
      <c r="U20" s="105"/>
      <c r="V20" s="105"/>
      <c r="W20" s="105"/>
      <c r="X20" s="105"/>
      <c r="Y20" s="105"/>
      <c r="Z20" s="105"/>
    </row>
    <row r="21">
      <c r="A21" s="105"/>
      <c r="B21" s="105"/>
      <c r="C21" s="105"/>
      <c r="D21" s="105"/>
      <c r="E21" s="112"/>
      <c r="F21" s="105"/>
      <c r="G21" s="105"/>
      <c r="H21" s="105"/>
      <c r="I21" s="105"/>
      <c r="J21" s="105"/>
      <c r="K21" s="105"/>
      <c r="L21" s="105"/>
      <c r="M21" s="105"/>
      <c r="N21" s="105"/>
      <c r="O21" s="105"/>
      <c r="P21" s="105"/>
      <c r="Q21" s="105"/>
      <c r="R21" s="105"/>
      <c r="S21" s="105"/>
      <c r="T21" s="105"/>
      <c r="U21" s="105"/>
      <c r="V21" s="105"/>
      <c r="W21" s="105"/>
      <c r="X21" s="105"/>
      <c r="Y21" s="105"/>
      <c r="Z21" s="105"/>
    </row>
    <row r="22">
      <c r="A22" s="105"/>
      <c r="B22" s="105"/>
      <c r="C22" s="105"/>
      <c r="D22" s="105"/>
      <c r="E22" s="112"/>
      <c r="F22" s="105"/>
      <c r="G22" s="105"/>
      <c r="H22" s="105"/>
      <c r="I22" s="105"/>
      <c r="J22" s="105"/>
      <c r="K22" s="105"/>
      <c r="L22" s="105"/>
      <c r="M22" s="105"/>
      <c r="N22" s="105"/>
      <c r="O22" s="105"/>
      <c r="P22" s="105"/>
      <c r="Q22" s="105"/>
      <c r="R22" s="105"/>
      <c r="S22" s="105"/>
      <c r="T22" s="105"/>
      <c r="U22" s="105"/>
      <c r="V22" s="105"/>
      <c r="W22" s="105"/>
      <c r="X22" s="105"/>
      <c r="Y22" s="105"/>
      <c r="Z22" s="105"/>
    </row>
    <row r="23">
      <c r="A23" s="105"/>
      <c r="B23" s="105"/>
      <c r="C23" s="105"/>
      <c r="D23" s="105"/>
      <c r="E23" s="112"/>
      <c r="F23" s="105"/>
      <c r="G23" s="105"/>
      <c r="H23" s="105"/>
      <c r="I23" s="105"/>
      <c r="J23" s="105"/>
      <c r="K23" s="105"/>
      <c r="L23" s="105"/>
      <c r="M23" s="105"/>
      <c r="N23" s="105"/>
      <c r="O23" s="105"/>
      <c r="P23" s="105"/>
      <c r="Q23" s="105"/>
      <c r="R23" s="105"/>
      <c r="S23" s="105"/>
      <c r="T23" s="105"/>
      <c r="U23" s="105"/>
      <c r="V23" s="105"/>
      <c r="W23" s="105"/>
      <c r="X23" s="105"/>
      <c r="Y23" s="105"/>
      <c r="Z23" s="105"/>
    </row>
    <row r="24">
      <c r="A24" s="105"/>
      <c r="B24" s="105"/>
      <c r="C24" s="105"/>
      <c r="D24" s="105"/>
      <c r="E24" s="112"/>
      <c r="F24" s="105"/>
      <c r="G24" s="105"/>
      <c r="H24" s="105"/>
      <c r="I24" s="105"/>
      <c r="J24" s="105"/>
      <c r="K24" s="105"/>
      <c r="L24" s="105"/>
      <c r="M24" s="105"/>
      <c r="N24" s="105"/>
      <c r="O24" s="105"/>
      <c r="P24" s="105"/>
      <c r="Q24" s="105"/>
      <c r="R24" s="105"/>
      <c r="S24" s="105"/>
      <c r="T24" s="105"/>
      <c r="U24" s="105"/>
      <c r="V24" s="105"/>
      <c r="W24" s="105"/>
      <c r="X24" s="105"/>
      <c r="Y24" s="105"/>
      <c r="Z24" s="105"/>
    </row>
    <row r="25">
      <c r="A25" s="105"/>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row>
    <row r="26">
      <c r="A26" s="105"/>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c r="A27" s="105"/>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c r="A28" s="105"/>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c r="A29" s="105"/>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c r="A30" s="105"/>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c r="A31" s="105"/>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c r="A32" s="105"/>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c r="A33" s="105"/>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c r="A34" s="105"/>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c r="A35" s="105"/>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sheetData>
  <mergeCells count="1">
    <mergeCell ref="A7:F7"/>
  </mergeCell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2" max="2" width="11.25"/>
    <col customWidth="1" min="3" max="3" width="20.38"/>
    <col customWidth="1" min="4" max="4" width="19.75"/>
  </cols>
  <sheetData>
    <row r="1" ht="22.5" customHeight="1">
      <c r="A1" s="119" t="s">
        <v>342</v>
      </c>
      <c r="B1" s="119" t="s">
        <v>343</v>
      </c>
      <c r="C1" s="119" t="s">
        <v>344</v>
      </c>
      <c r="D1" s="119" t="s">
        <v>345</v>
      </c>
    </row>
    <row r="2" ht="22.5" customHeight="1">
      <c r="A2" s="120" t="s">
        <v>346</v>
      </c>
      <c r="B2" s="121" t="s">
        <v>347</v>
      </c>
      <c r="C2" s="121" t="s">
        <v>348</v>
      </c>
      <c r="D2" s="121" t="s">
        <v>349</v>
      </c>
    </row>
    <row r="3" ht="22.5" customHeight="1">
      <c r="A3" s="122">
        <v>46195.728530092594</v>
      </c>
      <c r="B3" s="123" t="s">
        <v>350</v>
      </c>
      <c r="C3" s="123" t="s">
        <v>348</v>
      </c>
      <c r="D3" s="123" t="s">
        <v>351</v>
      </c>
    </row>
    <row r="4" ht="22.5" customHeight="1">
      <c r="A4" s="122">
        <v>46195.72859953704</v>
      </c>
      <c r="B4" s="123" t="s">
        <v>352</v>
      </c>
      <c r="C4" s="123" t="s">
        <v>348</v>
      </c>
      <c r="D4" s="123" t="s">
        <v>353</v>
      </c>
    </row>
    <row r="5" ht="22.5" customHeight="1">
      <c r="A5" s="122">
        <v>46195.72876157407</v>
      </c>
      <c r="B5" s="123" t="s">
        <v>354</v>
      </c>
      <c r="C5" s="123" t="s">
        <v>348</v>
      </c>
      <c r="D5" s="123" t="s">
        <v>355</v>
      </c>
    </row>
    <row r="6" ht="22.5" customHeight="1">
      <c r="A6" s="122">
        <v>46195.72887731482</v>
      </c>
      <c r="B6" s="123" t="s">
        <v>356</v>
      </c>
      <c r="C6" s="123" t="s">
        <v>348</v>
      </c>
      <c r="D6" s="123" t="s">
        <v>355</v>
      </c>
    </row>
    <row r="7" ht="22.5" customHeight="1">
      <c r="A7" s="122">
        <v>46195.72902777778</v>
      </c>
      <c r="B7" s="123" t="s">
        <v>357</v>
      </c>
      <c r="C7" s="123" t="s">
        <v>348</v>
      </c>
      <c r="D7" s="123" t="s">
        <v>358</v>
      </c>
    </row>
    <row r="8" ht="22.5" customHeight="1">
      <c r="A8" s="122">
        <v>46195.72912037037</v>
      </c>
      <c r="B8" s="123" t="s">
        <v>359</v>
      </c>
      <c r="C8" s="123" t="s">
        <v>348</v>
      </c>
      <c r="D8" s="123" t="s">
        <v>360</v>
      </c>
    </row>
    <row r="9" ht="22.5" customHeight="1">
      <c r="A9" s="122">
        <v>46195.72924768519</v>
      </c>
      <c r="B9" s="123" t="s">
        <v>361</v>
      </c>
      <c r="C9" s="123" t="s">
        <v>348</v>
      </c>
      <c r="D9" s="123" t="s">
        <v>362</v>
      </c>
    </row>
    <row r="10" ht="22.5" customHeight="1">
      <c r="A10" s="122">
        <v>46195.729375</v>
      </c>
      <c r="B10" s="123" t="s">
        <v>363</v>
      </c>
      <c r="C10" s="123" t="s">
        <v>348</v>
      </c>
      <c r="D10" s="123" t="s">
        <v>364</v>
      </c>
    </row>
    <row r="11" ht="22.5" customHeight="1">
      <c r="A11" s="122">
        <v>46195.72944444444</v>
      </c>
      <c r="B11" s="123" t="s">
        <v>365</v>
      </c>
      <c r="C11" s="123" t="s">
        <v>348</v>
      </c>
      <c r="D11" s="123" t="s">
        <v>366</v>
      </c>
    </row>
    <row r="12" ht="22.5" customHeight="1">
      <c r="A12" s="122">
        <v>46195.729479166665</v>
      </c>
      <c r="B12" s="123" t="s">
        <v>367</v>
      </c>
      <c r="C12" s="123" t="s">
        <v>348</v>
      </c>
      <c r="D12" s="123" t="s">
        <v>368</v>
      </c>
    </row>
    <row r="13" ht="22.5" customHeight="1">
      <c r="A13" s="122">
        <v>46195.72956018519</v>
      </c>
      <c r="B13" s="123" t="s">
        <v>369</v>
      </c>
      <c r="C13" s="123" t="s">
        <v>348</v>
      </c>
      <c r="D13" s="123" t="s">
        <v>370</v>
      </c>
    </row>
    <row r="14" ht="22.5" customHeight="1">
      <c r="A14" s="122">
        <v>46195.72961805556</v>
      </c>
      <c r="B14" s="123" t="s">
        <v>371</v>
      </c>
      <c r="C14" s="123" t="s">
        <v>348</v>
      </c>
      <c r="D14" s="123" t="s">
        <v>372</v>
      </c>
    </row>
    <row r="15" ht="22.5" customHeight="1">
      <c r="A15" s="122">
        <v>46195.7296412037</v>
      </c>
      <c r="B15" s="123" t="s">
        <v>373</v>
      </c>
      <c r="C15" s="123" t="s">
        <v>348</v>
      </c>
      <c r="D15" s="123" t="s">
        <v>374</v>
      </c>
    </row>
    <row r="16" ht="22.5" customHeight="1">
      <c r="A16" s="122">
        <v>46195.729675925926</v>
      </c>
      <c r="B16" s="123" t="s">
        <v>375</v>
      </c>
      <c r="C16" s="123" t="s">
        <v>348</v>
      </c>
      <c r="D16" s="123" t="s">
        <v>376</v>
      </c>
    </row>
    <row r="17" ht="22.5" customHeight="1">
      <c r="A17" s="122">
        <v>46195.72969907407</v>
      </c>
      <c r="B17" s="123" t="s">
        <v>377</v>
      </c>
      <c r="C17" s="123" t="s">
        <v>348</v>
      </c>
      <c r="D17" s="123" t="s">
        <v>378</v>
      </c>
    </row>
    <row r="18" ht="22.5" customHeight="1">
      <c r="A18" s="122">
        <v>46195.729733796295</v>
      </c>
      <c r="B18" s="123" t="s">
        <v>379</v>
      </c>
      <c r="C18" s="123" t="s">
        <v>348</v>
      </c>
      <c r="D18" s="123" t="s">
        <v>380</v>
      </c>
    </row>
    <row r="19" ht="22.5" customHeight="1">
      <c r="A19" s="122">
        <v>46195.729849537034</v>
      </c>
      <c r="B19" s="123" t="s">
        <v>381</v>
      </c>
      <c r="C19" s="123" t="s">
        <v>348</v>
      </c>
      <c r="D19" s="123" t="s">
        <v>382</v>
      </c>
    </row>
    <row r="20" ht="22.5" customHeight="1">
      <c r="A20" s="122">
        <v>46195.72994212963</v>
      </c>
      <c r="B20" s="123" t="s">
        <v>383</v>
      </c>
      <c r="C20" s="123" t="s">
        <v>348</v>
      </c>
      <c r="D20" s="123" t="s">
        <v>384</v>
      </c>
    </row>
    <row r="21" ht="22.5" customHeight="1">
      <c r="A21" s="122">
        <v>46195.73045138889</v>
      </c>
      <c r="B21" s="123" t="s">
        <v>385</v>
      </c>
      <c r="C21" s="123" t="s">
        <v>348</v>
      </c>
      <c r="D21" s="123" t="s">
        <v>386</v>
      </c>
    </row>
    <row r="22" ht="22.5" customHeight="1">
      <c r="A22" s="122">
        <v>46195.73060185185</v>
      </c>
      <c r="B22" s="123" t="s">
        <v>387</v>
      </c>
      <c r="C22" s="123" t="s">
        <v>348</v>
      </c>
      <c r="D22" s="123" t="s">
        <v>388</v>
      </c>
    </row>
    <row r="23" ht="22.5" customHeight="1">
      <c r="A23" s="122">
        <v>46195.73074074074</v>
      </c>
      <c r="B23" s="123" t="s">
        <v>389</v>
      </c>
      <c r="C23" s="123" t="s">
        <v>348</v>
      </c>
      <c r="D23" s="123" t="s">
        <v>388</v>
      </c>
    </row>
    <row r="24" ht="22.5" customHeight="1">
      <c r="A24" s="122">
        <v>46195.740636574075</v>
      </c>
      <c r="B24" s="123" t="s">
        <v>390</v>
      </c>
      <c r="C24" s="123" t="s">
        <v>348</v>
      </c>
      <c r="D24" s="123" t="s">
        <v>391</v>
      </c>
    </row>
    <row r="25" ht="22.5" customHeight="1">
      <c r="A25" s="122">
        <v>46195.74314814815</v>
      </c>
      <c r="B25" s="123" t="s">
        <v>392</v>
      </c>
      <c r="C25" s="123" t="s">
        <v>348</v>
      </c>
      <c r="D25" s="123" t="s">
        <v>393</v>
      </c>
    </row>
    <row r="26" ht="22.5" customHeight="1">
      <c r="A26" s="122">
        <v>46195.74385416666</v>
      </c>
      <c r="B26" s="123" t="s">
        <v>394</v>
      </c>
      <c r="C26" s="123" t="s">
        <v>348</v>
      </c>
      <c r="D26" s="123" t="s">
        <v>395</v>
      </c>
    </row>
    <row r="27" ht="22.5" customHeight="1">
      <c r="A27" s="122">
        <v>46195.74489583333</v>
      </c>
      <c r="B27" s="123" t="s">
        <v>396</v>
      </c>
      <c r="C27" s="123" t="s">
        <v>348</v>
      </c>
      <c r="D27" s="123" t="s">
        <v>393</v>
      </c>
    </row>
    <row r="28" ht="22.5" customHeight="1">
      <c r="A28" s="122">
        <v>46195.7455787037</v>
      </c>
      <c r="B28" s="123" t="s">
        <v>397</v>
      </c>
      <c r="C28" s="123" t="s">
        <v>348</v>
      </c>
      <c r="D28" s="123" t="s">
        <v>395</v>
      </c>
    </row>
    <row r="29" ht="22.5" customHeight="1">
      <c r="A29" s="122">
        <v>46195.770266203705</v>
      </c>
      <c r="B29" s="123" t="s">
        <v>398</v>
      </c>
      <c r="C29" s="123" t="s">
        <v>348</v>
      </c>
      <c r="D29" s="123" t="s">
        <v>399</v>
      </c>
    </row>
    <row r="30" ht="22.5" customHeight="1">
      <c r="A30" s="122">
        <v>46195.77033564815</v>
      </c>
      <c r="B30" s="123" t="s">
        <v>400</v>
      </c>
      <c r="C30" s="123" t="s">
        <v>348</v>
      </c>
      <c r="D30" s="123" t="s">
        <v>351</v>
      </c>
    </row>
    <row r="31" ht="22.5" customHeight="1">
      <c r="A31" s="122">
        <v>46195.77034722222</v>
      </c>
      <c r="B31" s="123" t="s">
        <v>401</v>
      </c>
      <c r="C31" s="123" t="s">
        <v>348</v>
      </c>
      <c r="D31" s="123" t="s">
        <v>353</v>
      </c>
    </row>
    <row r="32" ht="22.5" customHeight="1">
      <c r="A32" s="122">
        <v>46195.770370370374</v>
      </c>
      <c r="B32" s="123" t="s">
        <v>402</v>
      </c>
      <c r="C32" s="123" t="s">
        <v>348</v>
      </c>
      <c r="D32" s="123" t="s">
        <v>355</v>
      </c>
    </row>
    <row r="33" ht="22.5" customHeight="1">
      <c r="A33" s="122">
        <v>46195.77042824074</v>
      </c>
      <c r="B33" s="123" t="s">
        <v>403</v>
      </c>
      <c r="C33" s="123" t="s">
        <v>348</v>
      </c>
      <c r="D33" s="123" t="s">
        <v>353</v>
      </c>
    </row>
    <row r="34" ht="22.5" customHeight="1">
      <c r="A34" s="122">
        <v>46195.77056712963</v>
      </c>
      <c r="B34" s="123" t="s">
        <v>404</v>
      </c>
      <c r="C34" s="123" t="s">
        <v>348</v>
      </c>
      <c r="D34" s="123" t="s">
        <v>355</v>
      </c>
    </row>
    <row r="35" ht="22.5" customHeight="1">
      <c r="A35" s="122">
        <v>46195.77070601852</v>
      </c>
      <c r="B35" s="123" t="s">
        <v>405</v>
      </c>
      <c r="C35" s="123" t="s">
        <v>348</v>
      </c>
      <c r="D35" s="123" t="s">
        <v>364</v>
      </c>
    </row>
    <row r="36" ht="22.5" customHeight="1">
      <c r="A36" s="122">
        <v>46195.77122685185</v>
      </c>
      <c r="B36" s="123" t="s">
        <v>406</v>
      </c>
      <c r="C36" s="123" t="s">
        <v>348</v>
      </c>
      <c r="D36" s="123" t="s">
        <v>407</v>
      </c>
    </row>
    <row r="37" ht="22.5" customHeight="1">
      <c r="A37" s="122">
        <v>46195.771458333336</v>
      </c>
      <c r="B37" s="123" t="s">
        <v>408</v>
      </c>
      <c r="C37" s="123" t="s">
        <v>348</v>
      </c>
      <c r="D37" s="123" t="s">
        <v>409</v>
      </c>
    </row>
    <row r="38" ht="22.5" customHeight="1">
      <c r="A38" s="122">
        <v>46195.77150462963</v>
      </c>
      <c r="B38" s="123" t="s">
        <v>410</v>
      </c>
      <c r="C38" s="123" t="s">
        <v>348</v>
      </c>
      <c r="D38" s="123" t="s">
        <v>411</v>
      </c>
    </row>
    <row r="39" ht="22.5" customHeight="1">
      <c r="A39" s="122">
        <v>46195.7715625</v>
      </c>
      <c r="B39" s="123" t="s">
        <v>412</v>
      </c>
      <c r="C39" s="123" t="s">
        <v>348</v>
      </c>
      <c r="D39" s="123" t="s">
        <v>368</v>
      </c>
    </row>
    <row r="40" ht="22.5" customHeight="1">
      <c r="A40" s="122">
        <v>46195.772731481484</v>
      </c>
      <c r="B40" s="123" t="s">
        <v>413</v>
      </c>
      <c r="C40" s="123" t="s">
        <v>348</v>
      </c>
      <c r="D40" s="123" t="s">
        <v>370</v>
      </c>
    </row>
    <row r="41" ht="22.5" customHeight="1">
      <c r="A41" s="122">
        <v>46195.77278935185</v>
      </c>
      <c r="B41" s="123" t="s">
        <v>414</v>
      </c>
      <c r="C41" s="123" t="s">
        <v>348</v>
      </c>
      <c r="D41" s="123" t="s">
        <v>372</v>
      </c>
    </row>
    <row r="42" ht="22.5" customHeight="1">
      <c r="A42" s="122">
        <v>46195.7728125</v>
      </c>
      <c r="B42" s="123" t="s">
        <v>415</v>
      </c>
      <c r="C42" s="123" t="s">
        <v>348</v>
      </c>
      <c r="D42" s="123" t="s">
        <v>374</v>
      </c>
    </row>
    <row r="43" ht="22.5" customHeight="1">
      <c r="A43" s="122">
        <v>46195.77305555555</v>
      </c>
      <c r="B43" s="123" t="s">
        <v>416</v>
      </c>
      <c r="C43" s="123" t="s">
        <v>348</v>
      </c>
      <c r="D43" s="123" t="s">
        <v>378</v>
      </c>
    </row>
    <row r="44" ht="22.5" customHeight="1">
      <c r="A44" s="122">
        <v>46195.786840277775</v>
      </c>
      <c r="B44" s="123" t="s">
        <v>417</v>
      </c>
      <c r="C44" s="123" t="s">
        <v>348</v>
      </c>
      <c r="D44" s="123" t="s">
        <v>418</v>
      </c>
    </row>
    <row r="45" ht="22.5" customHeight="1">
      <c r="A45" s="122">
        <v>46195.78700231481</v>
      </c>
      <c r="B45" s="123" t="s">
        <v>419</v>
      </c>
      <c r="C45" s="123" t="s">
        <v>348</v>
      </c>
      <c r="D45" s="123" t="s">
        <v>420</v>
      </c>
    </row>
    <row r="46" ht="22.5" customHeight="1">
      <c r="A46" s="122">
        <v>46195.78739583334</v>
      </c>
      <c r="B46" s="123" t="s">
        <v>421</v>
      </c>
      <c r="C46" s="123" t="s">
        <v>348</v>
      </c>
      <c r="D46" s="123" t="s">
        <v>422</v>
      </c>
    </row>
    <row r="47" ht="22.5" customHeight="1">
      <c r="A47" s="122">
        <v>46195.78760416667</v>
      </c>
      <c r="B47" s="123" t="s">
        <v>423</v>
      </c>
      <c r="C47" s="123" t="s">
        <v>348</v>
      </c>
      <c r="D47" s="123" t="s">
        <v>424</v>
      </c>
    </row>
    <row r="48" ht="22.5" customHeight="1">
      <c r="A48" s="122">
        <v>46195.787777777776</v>
      </c>
      <c r="B48" s="123" t="s">
        <v>425</v>
      </c>
      <c r="C48" s="123" t="s">
        <v>348</v>
      </c>
      <c r="D48" s="123" t="s">
        <v>426</v>
      </c>
    </row>
    <row r="49" ht="22.5" customHeight="1">
      <c r="A49" s="122">
        <v>46195.78795138889</v>
      </c>
      <c r="B49" s="123" t="s">
        <v>427</v>
      </c>
      <c r="C49" s="123" t="s">
        <v>348</v>
      </c>
      <c r="D49" s="123" t="s">
        <v>428</v>
      </c>
    </row>
    <row r="50" ht="22.5" customHeight="1">
      <c r="A50" s="122">
        <v>46195.78811342592</v>
      </c>
      <c r="B50" s="123" t="s">
        <v>429</v>
      </c>
      <c r="C50" s="123" t="s">
        <v>348</v>
      </c>
      <c r="D50" s="123" t="s">
        <v>430</v>
      </c>
    </row>
    <row r="51" ht="22.5" customHeight="1">
      <c r="A51" s="122">
        <v>46195.78821759259</v>
      </c>
      <c r="B51" s="123" t="s">
        <v>431</v>
      </c>
      <c r="C51" s="123" t="s">
        <v>348</v>
      </c>
      <c r="D51" s="123" t="s">
        <v>432</v>
      </c>
    </row>
    <row r="52" ht="22.5" customHeight="1">
      <c r="A52" s="122">
        <v>46195.78821759259</v>
      </c>
      <c r="B52" s="123" t="s">
        <v>433</v>
      </c>
      <c r="C52" s="123" t="s">
        <v>348</v>
      </c>
      <c r="D52" s="123" t="s">
        <v>430</v>
      </c>
    </row>
    <row r="53" ht="22.5" customHeight="1">
      <c r="A53" s="122">
        <v>46195.788252314815</v>
      </c>
      <c r="B53" s="123" t="s">
        <v>434</v>
      </c>
      <c r="C53" s="123" t="s">
        <v>348</v>
      </c>
      <c r="D53" s="123" t="s">
        <v>432</v>
      </c>
    </row>
    <row r="54" ht="22.5" customHeight="1">
      <c r="A54" s="122">
        <v>46195.78839120371</v>
      </c>
      <c r="B54" s="123" t="s">
        <v>435</v>
      </c>
      <c r="C54" s="123" t="s">
        <v>348</v>
      </c>
      <c r="D54" s="123" t="s">
        <v>436</v>
      </c>
    </row>
    <row r="55" ht="22.5" customHeight="1">
      <c r="A55" s="122">
        <v>46195.78857638889</v>
      </c>
      <c r="B55" s="123" t="s">
        <v>437</v>
      </c>
      <c r="C55" s="123" t="s">
        <v>348</v>
      </c>
      <c r="D55" s="123" t="s">
        <v>438</v>
      </c>
    </row>
    <row r="56" ht="22.5" customHeight="1">
      <c r="A56" s="122">
        <v>46195.78871527778</v>
      </c>
      <c r="B56" s="123" t="s">
        <v>439</v>
      </c>
      <c r="C56" s="123" t="s">
        <v>348</v>
      </c>
      <c r="D56" s="123" t="s">
        <v>440</v>
      </c>
    </row>
    <row r="57" ht="22.5" customHeight="1">
      <c r="A57" s="122">
        <v>46196.99103009259</v>
      </c>
      <c r="B57" s="123" t="s">
        <v>441</v>
      </c>
      <c r="C57" s="123" t="s">
        <v>348</v>
      </c>
      <c r="D57" s="123" t="s">
        <v>442</v>
      </c>
    </row>
    <row r="58" ht="22.5" customHeight="1">
      <c r="A58" s="122">
        <v>46200.8840625</v>
      </c>
      <c r="B58" s="123" t="s">
        <v>443</v>
      </c>
      <c r="C58" s="123" t="s">
        <v>348</v>
      </c>
      <c r="D58" s="123" t="s">
        <v>444</v>
      </c>
    </row>
    <row r="59" ht="22.5" customHeight="1">
      <c r="A59" s="122">
        <v>46200.88681712963</v>
      </c>
      <c r="B59" s="123" t="s">
        <v>445</v>
      </c>
      <c r="C59" s="123" t="s">
        <v>348</v>
      </c>
      <c r="D59" s="123" t="s">
        <v>446</v>
      </c>
    </row>
    <row r="60" ht="22.5" customHeight="1">
      <c r="A60" s="122">
        <v>46200.88681712963</v>
      </c>
      <c r="B60" s="123" t="s">
        <v>445</v>
      </c>
      <c r="C60" s="123" t="s">
        <v>348</v>
      </c>
      <c r="D60" s="123" t="s">
        <v>447</v>
      </c>
    </row>
    <row r="61" ht="22.5" customHeight="1">
      <c r="A61" s="122">
        <v>46200.88685185185</v>
      </c>
      <c r="B61" s="123" t="s">
        <v>448</v>
      </c>
      <c r="C61" s="123" t="s">
        <v>348</v>
      </c>
      <c r="D61" s="123" t="s">
        <v>446</v>
      </c>
    </row>
    <row r="62" ht="22.5" customHeight="1">
      <c r="A62" s="122">
        <v>46200.88690972222</v>
      </c>
      <c r="B62" s="123" t="s">
        <v>449</v>
      </c>
      <c r="C62" s="123" t="s">
        <v>348</v>
      </c>
      <c r="D62" s="123" t="s">
        <v>450</v>
      </c>
    </row>
    <row r="63" ht="22.5" customHeight="1">
      <c r="A63" s="122">
        <v>46200.88693287037</v>
      </c>
      <c r="B63" s="123" t="s">
        <v>451</v>
      </c>
      <c r="C63" s="123" t="s">
        <v>348</v>
      </c>
      <c r="D63" s="123" t="s">
        <v>446</v>
      </c>
    </row>
    <row r="64" ht="22.5" customHeight="1">
      <c r="A64" s="122">
        <v>46200.886979166666</v>
      </c>
      <c r="B64" s="123" t="s">
        <v>452</v>
      </c>
      <c r="C64" s="123" t="s">
        <v>348</v>
      </c>
      <c r="D64" s="123" t="s">
        <v>447</v>
      </c>
    </row>
    <row r="65" ht="22.5" customHeight="1">
      <c r="A65" s="122">
        <v>46200.88700231481</v>
      </c>
      <c r="B65" s="123" t="s">
        <v>453</v>
      </c>
      <c r="C65" s="123" t="s">
        <v>348</v>
      </c>
      <c r="D65" s="123" t="s">
        <v>454</v>
      </c>
    </row>
    <row r="66" ht="22.5" customHeight="1">
      <c r="A66" s="122">
        <v>46200.887025462966</v>
      </c>
      <c r="B66" s="123" t="s">
        <v>455</v>
      </c>
      <c r="C66" s="123" t="s">
        <v>348</v>
      </c>
      <c r="D66" s="123" t="s">
        <v>456</v>
      </c>
    </row>
    <row r="67" ht="22.5" customHeight="1">
      <c r="A67" s="122">
        <v>46200.88704861111</v>
      </c>
      <c r="B67" s="123" t="s">
        <v>457</v>
      </c>
      <c r="C67" s="123" t="s">
        <v>348</v>
      </c>
      <c r="D67" s="123" t="s">
        <v>458</v>
      </c>
    </row>
    <row r="68" ht="22.5" customHeight="1">
      <c r="A68" s="122">
        <v>46200.8872337963</v>
      </c>
      <c r="B68" s="123" t="s">
        <v>459</v>
      </c>
      <c r="C68" s="123" t="s">
        <v>348</v>
      </c>
      <c r="D68" s="123" t="s">
        <v>460</v>
      </c>
    </row>
    <row r="69" ht="22.5" customHeight="1">
      <c r="A69" s="122">
        <v>46200.887291666666</v>
      </c>
      <c r="B69" s="123" t="s">
        <v>461</v>
      </c>
      <c r="C69" s="123" t="s">
        <v>348</v>
      </c>
      <c r="D69" s="123" t="s">
        <v>462</v>
      </c>
    </row>
    <row r="70" ht="22.5" customHeight="1">
      <c r="A70" s="122">
        <v>46200.88731481481</v>
      </c>
      <c r="B70" s="123" t="s">
        <v>463</v>
      </c>
      <c r="C70" s="123" t="s">
        <v>348</v>
      </c>
      <c r="D70" s="123" t="s">
        <v>464</v>
      </c>
    </row>
    <row r="71" ht="22.5" customHeight="1">
      <c r="A71" s="122">
        <v>46200.887337962966</v>
      </c>
      <c r="B71" s="123" t="s">
        <v>465</v>
      </c>
      <c r="C71" s="123" t="s">
        <v>348</v>
      </c>
      <c r="D71" s="123" t="s">
        <v>466</v>
      </c>
    </row>
    <row r="72" ht="22.5" customHeight="1">
      <c r="A72" s="122">
        <v>46200.88736111111</v>
      </c>
      <c r="B72" s="123" t="s">
        <v>467</v>
      </c>
      <c r="C72" s="123" t="s">
        <v>348</v>
      </c>
      <c r="D72" s="123" t="s">
        <v>468</v>
      </c>
    </row>
    <row r="73" ht="22.5" customHeight="1">
      <c r="A73" s="122">
        <v>46200.88738425926</v>
      </c>
      <c r="B73" s="123" t="s">
        <v>469</v>
      </c>
      <c r="C73" s="123" t="s">
        <v>348</v>
      </c>
      <c r="D73" s="123" t="s">
        <v>470</v>
      </c>
    </row>
    <row r="74" ht="22.5" customHeight="1">
      <c r="A74" s="122">
        <v>46200.887407407405</v>
      </c>
      <c r="B74" s="123" t="s">
        <v>471</v>
      </c>
      <c r="C74" s="123" t="s">
        <v>348</v>
      </c>
      <c r="D74" s="123" t="s">
        <v>472</v>
      </c>
    </row>
    <row r="75" ht="22.5" customHeight="1">
      <c r="A75" s="122">
        <v>46200.88744212963</v>
      </c>
      <c r="B75" s="123" t="s">
        <v>473</v>
      </c>
      <c r="C75" s="123" t="s">
        <v>348</v>
      </c>
      <c r="D75" s="123" t="s">
        <v>474</v>
      </c>
    </row>
    <row r="76" ht="22.5" customHeight="1">
      <c r="A76" s="122">
        <v>46200.887453703705</v>
      </c>
      <c r="B76" s="123" t="s">
        <v>475</v>
      </c>
      <c r="C76" s="123" t="s">
        <v>348</v>
      </c>
      <c r="D76" s="123" t="s">
        <v>476</v>
      </c>
    </row>
    <row r="77" ht="22.5" customHeight="1">
      <c r="A77" s="122">
        <v>46200.88746527778</v>
      </c>
      <c r="B77" s="123" t="s">
        <v>477</v>
      </c>
      <c r="C77" s="123" t="s">
        <v>348</v>
      </c>
      <c r="D77" s="123" t="s">
        <v>478</v>
      </c>
    </row>
    <row r="78" ht="22.5" customHeight="1">
      <c r="A78" s="122">
        <v>46200.88748842593</v>
      </c>
      <c r="B78" s="123" t="s">
        <v>479</v>
      </c>
      <c r="C78" s="123" t="s">
        <v>348</v>
      </c>
      <c r="D78" s="123" t="s">
        <v>480</v>
      </c>
    </row>
    <row r="79" ht="22.5" customHeight="1">
      <c r="A79" s="122">
        <v>46200.887511574074</v>
      </c>
      <c r="B79" s="123" t="s">
        <v>481</v>
      </c>
      <c r="C79" s="123" t="s">
        <v>348</v>
      </c>
      <c r="D79" s="123" t="s">
        <v>482</v>
      </c>
    </row>
    <row r="80" ht="22.5" customHeight="1">
      <c r="A80" s="122">
        <v>46200.88753472222</v>
      </c>
      <c r="B80" s="123" t="s">
        <v>483</v>
      </c>
      <c r="C80" s="123" t="s">
        <v>348</v>
      </c>
      <c r="D80" s="123" t="s">
        <v>484</v>
      </c>
    </row>
    <row r="81" ht="22.5" customHeight="1">
      <c r="A81" s="122">
        <v>46200.8875462963</v>
      </c>
      <c r="B81" s="123" t="s">
        <v>485</v>
      </c>
      <c r="C81" s="123" t="s">
        <v>348</v>
      </c>
      <c r="D81" s="123" t="s">
        <v>486</v>
      </c>
    </row>
    <row r="82" ht="22.5" customHeight="1">
      <c r="A82" s="122">
        <v>46200.88759259259</v>
      </c>
      <c r="B82" s="123" t="s">
        <v>487</v>
      </c>
      <c r="C82" s="123" t="s">
        <v>348</v>
      </c>
      <c r="D82" s="123" t="s">
        <v>488</v>
      </c>
    </row>
    <row r="83" ht="22.5" customHeight="1">
      <c r="A83" s="122">
        <v>46200.88761574074</v>
      </c>
      <c r="B83" s="123" t="s">
        <v>489</v>
      </c>
      <c r="C83" s="123" t="s">
        <v>348</v>
      </c>
      <c r="D83" s="123" t="s">
        <v>490</v>
      </c>
    </row>
    <row r="84" ht="22.5" customHeight="1">
      <c r="A84" s="122">
        <v>46200.88762731481</v>
      </c>
      <c r="B84" s="123" t="s">
        <v>491</v>
      </c>
      <c r="C84" s="123" t="s">
        <v>348</v>
      </c>
      <c r="D84" s="123" t="s">
        <v>492</v>
      </c>
    </row>
    <row r="85" ht="22.5" customHeight="1">
      <c r="A85" s="122">
        <v>46200.887650462966</v>
      </c>
      <c r="B85" s="123" t="s">
        <v>493</v>
      </c>
      <c r="C85" s="123" t="s">
        <v>348</v>
      </c>
      <c r="D85" s="123" t="s">
        <v>494</v>
      </c>
    </row>
    <row r="86" ht="22.5" customHeight="1">
      <c r="A86" s="122">
        <v>46200.88768518518</v>
      </c>
      <c r="B86" s="123" t="s">
        <v>495</v>
      </c>
      <c r="C86" s="123" t="s">
        <v>348</v>
      </c>
      <c r="D86" s="123" t="s">
        <v>496</v>
      </c>
    </row>
    <row r="87" ht="22.5" customHeight="1">
      <c r="A87" s="122">
        <v>46200.887708333335</v>
      </c>
      <c r="B87" s="123" t="s">
        <v>497</v>
      </c>
      <c r="C87" s="123" t="s">
        <v>348</v>
      </c>
      <c r="D87" s="123" t="s">
        <v>498</v>
      </c>
    </row>
    <row r="88" ht="22.5" customHeight="1">
      <c r="A88" s="122">
        <v>46200.88773148148</v>
      </c>
      <c r="B88" s="123" t="s">
        <v>499</v>
      </c>
      <c r="C88" s="123" t="s">
        <v>348</v>
      </c>
      <c r="D88" s="123" t="s">
        <v>500</v>
      </c>
    </row>
    <row r="89" ht="22.5" customHeight="1">
      <c r="A89" s="122">
        <v>46200.88775462963</v>
      </c>
      <c r="B89" s="123" t="s">
        <v>501</v>
      </c>
      <c r="C89" s="123" t="s">
        <v>348</v>
      </c>
      <c r="D89" s="123" t="s">
        <v>502</v>
      </c>
    </row>
    <row r="90" ht="22.5" customHeight="1">
      <c r="A90" s="122">
        <v>46200.88780092593</v>
      </c>
      <c r="B90" s="123" t="s">
        <v>503</v>
      </c>
      <c r="C90" s="123" t="s">
        <v>348</v>
      </c>
      <c r="D90" s="123" t="s">
        <v>504</v>
      </c>
    </row>
    <row r="91" ht="22.5" customHeight="1">
      <c r="A91" s="122">
        <v>46200.887824074074</v>
      </c>
      <c r="B91" s="123" t="s">
        <v>505</v>
      </c>
      <c r="C91" s="123" t="s">
        <v>348</v>
      </c>
      <c r="D91" s="123" t="s">
        <v>506</v>
      </c>
    </row>
    <row r="92" ht="22.5" customHeight="1">
      <c r="A92" s="122">
        <v>46200.88783564815</v>
      </c>
      <c r="B92" s="123" t="s">
        <v>507</v>
      </c>
      <c r="C92" s="123" t="s">
        <v>348</v>
      </c>
      <c r="D92" s="123" t="s">
        <v>508</v>
      </c>
    </row>
    <row r="93" ht="22.5" customHeight="1">
      <c r="A93" s="122">
        <v>46200.89304398148</v>
      </c>
      <c r="B93" s="123" t="s">
        <v>509</v>
      </c>
      <c r="C93" s="123" t="s">
        <v>348</v>
      </c>
      <c r="D93" s="123" t="s">
        <v>510</v>
      </c>
    </row>
    <row r="94" ht="22.5" customHeight="1">
      <c r="A94" s="122">
        <v>46200.89310185185</v>
      </c>
      <c r="B94" s="123" t="s">
        <v>511</v>
      </c>
      <c r="C94" s="123" t="s">
        <v>348</v>
      </c>
      <c r="D94" s="123" t="s">
        <v>510</v>
      </c>
    </row>
    <row r="95" ht="22.5" customHeight="1">
      <c r="A95" s="122">
        <v>46200.89344907407</v>
      </c>
      <c r="B95" s="123" t="s">
        <v>512</v>
      </c>
      <c r="C95" s="123" t="s">
        <v>348</v>
      </c>
      <c r="D95" s="123" t="s">
        <v>513</v>
      </c>
    </row>
    <row r="96" ht="22.5" customHeight="1">
      <c r="A96" s="122">
        <v>46200.89409722222</v>
      </c>
      <c r="B96" s="123" t="s">
        <v>514</v>
      </c>
      <c r="C96" s="123" t="s">
        <v>348</v>
      </c>
      <c r="D96" s="123" t="s">
        <v>515</v>
      </c>
    </row>
    <row r="97" ht="22.5" customHeight="1">
      <c r="A97" s="122">
        <v>46200.89457175926</v>
      </c>
      <c r="B97" s="123" t="s">
        <v>516</v>
      </c>
      <c r="C97" s="123" t="s">
        <v>348</v>
      </c>
      <c r="D97" s="123" t="s">
        <v>515</v>
      </c>
    </row>
    <row r="98" ht="22.5" customHeight="1">
      <c r="A98" s="122">
        <v>46200.8946875</v>
      </c>
      <c r="B98" s="123" t="s">
        <v>517</v>
      </c>
      <c r="C98" s="123" t="s">
        <v>348</v>
      </c>
      <c r="D98" s="123" t="s">
        <v>513</v>
      </c>
    </row>
    <row r="99" ht="22.5" customHeight="1">
      <c r="A99" s="122">
        <v>46200.90020833333</v>
      </c>
      <c r="B99" s="123" t="s">
        <v>518</v>
      </c>
      <c r="C99" s="123" t="s">
        <v>348</v>
      </c>
      <c r="D99" s="123" t="s">
        <v>515</v>
      </c>
    </row>
    <row r="100" ht="22.5" customHeight="1">
      <c r="A100" s="122">
        <v>46200.91222222222</v>
      </c>
      <c r="B100" s="123" t="s">
        <v>519</v>
      </c>
      <c r="C100" s="123" t="s">
        <v>348</v>
      </c>
      <c r="D100" s="123" t="s">
        <v>520</v>
      </c>
    </row>
    <row r="101" ht="22.5" customHeight="1">
      <c r="A101" s="122">
        <v>46200.91260416667</v>
      </c>
      <c r="B101" s="123" t="s">
        <v>521</v>
      </c>
      <c r="C101" s="123" t="s">
        <v>348</v>
      </c>
      <c r="D101" s="123" t="s">
        <v>522</v>
      </c>
    </row>
    <row r="102" ht="22.5" customHeight="1">
      <c r="A102" s="122">
        <v>46200.91280092593</v>
      </c>
      <c r="B102" s="123" t="s">
        <v>523</v>
      </c>
      <c r="C102" s="123" t="s">
        <v>348</v>
      </c>
      <c r="D102" s="123" t="s">
        <v>524</v>
      </c>
    </row>
    <row r="103" ht="22.5" customHeight="1">
      <c r="A103" s="122">
        <v>46200.91291666667</v>
      </c>
      <c r="B103" s="123" t="s">
        <v>525</v>
      </c>
      <c r="C103" s="123" t="s">
        <v>348</v>
      </c>
      <c r="D103" s="123" t="s">
        <v>526</v>
      </c>
    </row>
    <row r="104" ht="22.5" customHeight="1">
      <c r="A104" s="122">
        <v>46200.91311342592</v>
      </c>
      <c r="B104" s="123" t="s">
        <v>527</v>
      </c>
      <c r="C104" s="123" t="s">
        <v>348</v>
      </c>
      <c r="D104" s="123" t="s">
        <v>528</v>
      </c>
    </row>
    <row r="105" ht="22.5" customHeight="1">
      <c r="A105" s="122">
        <v>46200.93042824074</v>
      </c>
      <c r="B105" s="123" t="s">
        <v>529</v>
      </c>
      <c r="C105" s="123" t="s">
        <v>348</v>
      </c>
      <c r="D105" s="123" t="s">
        <v>530</v>
      </c>
    </row>
    <row r="106" ht="22.5" customHeight="1">
      <c r="A106" s="122">
        <v>46200.93068287037</v>
      </c>
      <c r="B106" s="123" t="s">
        <v>531</v>
      </c>
      <c r="C106" s="123" t="s">
        <v>348</v>
      </c>
      <c r="D106" s="123" t="s">
        <v>532</v>
      </c>
    </row>
    <row r="107" ht="22.5" customHeight="1">
      <c r="A107" s="122">
        <v>46200.93133101852</v>
      </c>
      <c r="B107" s="123" t="s">
        <v>533</v>
      </c>
      <c r="C107" s="123" t="s">
        <v>348</v>
      </c>
      <c r="D107" s="123" t="s">
        <v>534</v>
      </c>
    </row>
    <row r="108" ht="22.5" customHeight="1">
      <c r="A108" s="122">
        <v>46200.93224537037</v>
      </c>
      <c r="B108" s="123" t="s">
        <v>535</v>
      </c>
      <c r="C108" s="123" t="s">
        <v>348</v>
      </c>
      <c r="D108" s="123" t="s">
        <v>536</v>
      </c>
    </row>
    <row r="109" ht="22.5" customHeight="1">
      <c r="A109" s="122">
        <v>46200.93309027778</v>
      </c>
      <c r="B109" s="123" t="s">
        <v>537</v>
      </c>
      <c r="C109" s="123" t="s">
        <v>348</v>
      </c>
      <c r="D109" s="123" t="s">
        <v>538</v>
      </c>
    </row>
    <row r="110" ht="22.5" customHeight="1">
      <c r="A110" s="122">
        <v>46200.935844907406</v>
      </c>
      <c r="B110" s="123" t="s">
        <v>539</v>
      </c>
      <c r="C110" s="123" t="s">
        <v>348</v>
      </c>
      <c r="D110" s="123" t="s">
        <v>540</v>
      </c>
    </row>
    <row r="111" ht="22.5" customHeight="1">
      <c r="A111" s="122">
        <v>46200.93664351852</v>
      </c>
      <c r="B111" s="123" t="s">
        <v>541</v>
      </c>
      <c r="C111" s="123" t="s">
        <v>348</v>
      </c>
      <c r="D111" s="123" t="s">
        <v>542</v>
      </c>
    </row>
    <row r="112" ht="22.5" customHeight="1">
      <c r="A112" s="122">
        <v>46200.93722222222</v>
      </c>
      <c r="B112" s="123" t="s">
        <v>543</v>
      </c>
      <c r="C112" s="123" t="s">
        <v>348</v>
      </c>
      <c r="D112" s="123" t="s">
        <v>544</v>
      </c>
    </row>
    <row r="113" ht="22.5" customHeight="1">
      <c r="A113" s="122">
        <v>46200.93997685185</v>
      </c>
      <c r="B113" s="123" t="s">
        <v>545</v>
      </c>
      <c r="C113" s="123" t="s">
        <v>348</v>
      </c>
      <c r="D113" s="123" t="s">
        <v>546</v>
      </c>
    </row>
    <row r="114" ht="22.5" customHeight="1">
      <c r="A114" s="122">
        <v>46200.94005787037</v>
      </c>
      <c r="B114" s="123" t="s">
        <v>547</v>
      </c>
      <c r="C114" s="123" t="s">
        <v>348</v>
      </c>
      <c r="D114" s="123" t="s">
        <v>548</v>
      </c>
    </row>
    <row r="115" ht="22.5" customHeight="1">
      <c r="A115" s="122">
        <v>46200.94018518519</v>
      </c>
      <c r="B115" s="123" t="s">
        <v>549</v>
      </c>
      <c r="C115" s="123" t="s">
        <v>348</v>
      </c>
      <c r="D115" s="123" t="s">
        <v>548</v>
      </c>
    </row>
    <row r="116" ht="22.5" customHeight="1">
      <c r="A116" s="122">
        <v>46200.940254629626</v>
      </c>
      <c r="B116" s="123" t="s">
        <v>550</v>
      </c>
      <c r="C116" s="123" t="s">
        <v>348</v>
      </c>
      <c r="D116" s="123" t="s">
        <v>546</v>
      </c>
    </row>
    <row r="117" ht="22.5" customHeight="1">
      <c r="A117" s="122">
        <v>46200.9403125</v>
      </c>
      <c r="B117" s="123" t="s">
        <v>551</v>
      </c>
      <c r="C117" s="123" t="s">
        <v>348</v>
      </c>
      <c r="D117" s="123" t="s">
        <v>552</v>
      </c>
    </row>
    <row r="118" ht="22.5" customHeight="1">
      <c r="A118" s="122">
        <v>46200.94079861111</v>
      </c>
      <c r="B118" s="123" t="s">
        <v>553</v>
      </c>
      <c r="C118" s="123" t="s">
        <v>348</v>
      </c>
      <c r="D118" s="123" t="s">
        <v>544</v>
      </c>
    </row>
    <row r="119" ht="22.5" customHeight="1">
      <c r="A119" s="122">
        <v>46200.94099537037</v>
      </c>
      <c r="B119" s="123" t="s">
        <v>554</v>
      </c>
      <c r="C119" s="123" t="s">
        <v>348</v>
      </c>
      <c r="D119" s="123" t="s">
        <v>552</v>
      </c>
    </row>
    <row r="120" ht="22.5" customHeight="1">
      <c r="A120" s="122">
        <v>46200.941030092596</v>
      </c>
      <c r="B120" s="123" t="s">
        <v>555</v>
      </c>
      <c r="C120" s="123" t="s">
        <v>348</v>
      </c>
      <c r="D120" s="123" t="s">
        <v>556</v>
      </c>
    </row>
    <row r="121" ht="22.5" customHeight="1">
      <c r="A121" s="122">
        <v>46200.941400462965</v>
      </c>
      <c r="B121" s="123" t="s">
        <v>557</v>
      </c>
      <c r="C121" s="123" t="s">
        <v>348</v>
      </c>
      <c r="D121" s="123" t="s">
        <v>558</v>
      </c>
    </row>
    <row r="122" ht="22.5" customHeight="1">
      <c r="A122" s="122">
        <v>46200.94164351852</v>
      </c>
      <c r="B122" s="123" t="s">
        <v>559</v>
      </c>
      <c r="C122" s="123" t="s">
        <v>348</v>
      </c>
      <c r="D122" s="123" t="s">
        <v>380</v>
      </c>
    </row>
    <row r="123" ht="22.5" customHeight="1">
      <c r="A123" s="122">
        <v>46200.941666666666</v>
      </c>
      <c r="B123" s="123" t="s">
        <v>560</v>
      </c>
      <c r="C123" s="123" t="s">
        <v>348</v>
      </c>
      <c r="D123" s="123" t="s">
        <v>561</v>
      </c>
    </row>
    <row r="124" ht="22.5" customHeight="1">
      <c r="A124" s="122">
        <v>46200.941712962966</v>
      </c>
      <c r="B124" s="123" t="s">
        <v>562</v>
      </c>
      <c r="C124" s="123" t="s">
        <v>348</v>
      </c>
      <c r="D124" s="123" t="s">
        <v>563</v>
      </c>
    </row>
    <row r="125" ht="22.5" customHeight="1">
      <c r="A125" s="122">
        <v>46200.94199074074</v>
      </c>
      <c r="B125" s="123" t="s">
        <v>564</v>
      </c>
      <c r="C125" s="123" t="s">
        <v>348</v>
      </c>
      <c r="D125" s="123" t="s">
        <v>565</v>
      </c>
    </row>
    <row r="126" ht="22.5" customHeight="1">
      <c r="A126" s="122">
        <v>46200.9422337963</v>
      </c>
      <c r="B126" s="123" t="s">
        <v>566</v>
      </c>
      <c r="C126" s="123" t="s">
        <v>348</v>
      </c>
      <c r="D126" s="123" t="s">
        <v>510</v>
      </c>
    </row>
    <row r="127" ht="22.5" customHeight="1">
      <c r="A127" s="122">
        <v>46200.94256944444</v>
      </c>
      <c r="B127" s="123" t="s">
        <v>567</v>
      </c>
      <c r="C127" s="123" t="s">
        <v>348</v>
      </c>
      <c r="D127" s="123" t="s">
        <v>548</v>
      </c>
    </row>
    <row r="128" ht="22.5" customHeight="1">
      <c r="A128" s="122">
        <v>46200.94263888889</v>
      </c>
      <c r="B128" s="123" t="s">
        <v>568</v>
      </c>
      <c r="C128" s="123" t="s">
        <v>348</v>
      </c>
      <c r="D128" s="123" t="s">
        <v>569</v>
      </c>
    </row>
    <row r="129" ht="22.5" customHeight="1">
      <c r="A129" s="122">
        <v>46200.94306712963</v>
      </c>
      <c r="B129" s="123" t="s">
        <v>570</v>
      </c>
      <c r="C129" s="123" t="s">
        <v>348</v>
      </c>
      <c r="D129" s="123" t="s">
        <v>571</v>
      </c>
    </row>
    <row r="130" ht="22.5" customHeight="1">
      <c r="A130" s="122">
        <v>46200.94322916667</v>
      </c>
      <c r="B130" s="123" t="s">
        <v>572</v>
      </c>
      <c r="C130" s="123" t="s">
        <v>348</v>
      </c>
      <c r="D130" s="123" t="s">
        <v>382</v>
      </c>
    </row>
    <row r="131" ht="22.5" customHeight="1">
      <c r="A131" s="122">
        <v>46200.94325231481</v>
      </c>
      <c r="B131" s="123" t="s">
        <v>573</v>
      </c>
      <c r="C131" s="123" t="s">
        <v>348</v>
      </c>
      <c r="D131" s="123" t="s">
        <v>574</v>
      </c>
    </row>
    <row r="132" ht="22.5" customHeight="1">
      <c r="A132" s="122">
        <v>46200.94329861111</v>
      </c>
      <c r="B132" s="123" t="s">
        <v>575</v>
      </c>
      <c r="C132" s="123" t="s">
        <v>348</v>
      </c>
      <c r="D132" s="123" t="s">
        <v>576</v>
      </c>
    </row>
    <row r="133" ht="22.5" customHeight="1">
      <c r="A133" s="122">
        <v>46200.944189814814</v>
      </c>
      <c r="B133" s="123" t="s">
        <v>577</v>
      </c>
      <c r="C133" s="123" t="s">
        <v>348</v>
      </c>
      <c r="D133" s="123" t="s">
        <v>546</v>
      </c>
    </row>
    <row r="134" ht="22.5" customHeight="1">
      <c r="A134" s="122">
        <v>46200.944236111114</v>
      </c>
      <c r="B134" s="123" t="s">
        <v>578</v>
      </c>
      <c r="C134" s="123" t="s">
        <v>348</v>
      </c>
      <c r="D134" s="123" t="s">
        <v>579</v>
      </c>
    </row>
    <row r="135" ht="22.5" customHeight="1">
      <c r="A135" s="122">
        <v>46200.94453703704</v>
      </c>
      <c r="B135" s="123" t="s">
        <v>580</v>
      </c>
      <c r="C135" s="123" t="s">
        <v>348</v>
      </c>
      <c r="D135" s="123" t="s">
        <v>581</v>
      </c>
    </row>
    <row r="136" ht="22.5" customHeight="1">
      <c r="A136" s="122">
        <v>46200.944710648146</v>
      </c>
      <c r="B136" s="123" t="s">
        <v>582</v>
      </c>
      <c r="C136" s="123" t="s">
        <v>348</v>
      </c>
      <c r="D136" s="123" t="s">
        <v>384</v>
      </c>
    </row>
    <row r="137" ht="22.5" customHeight="1">
      <c r="A137" s="122">
        <v>46200.944756944446</v>
      </c>
      <c r="B137" s="123" t="s">
        <v>583</v>
      </c>
      <c r="C137" s="123" t="s">
        <v>348</v>
      </c>
      <c r="D137" s="123" t="s">
        <v>584</v>
      </c>
    </row>
    <row r="138" ht="22.5" customHeight="1">
      <c r="A138" s="122">
        <v>46200.944814814815</v>
      </c>
      <c r="B138" s="123" t="s">
        <v>585</v>
      </c>
      <c r="C138" s="123" t="s">
        <v>348</v>
      </c>
      <c r="D138" s="123" t="s">
        <v>586</v>
      </c>
    </row>
    <row r="139" ht="22.5" customHeight="1">
      <c r="A139" s="122">
        <v>46200.94517361111</v>
      </c>
      <c r="B139" s="123" t="s">
        <v>587</v>
      </c>
      <c r="C139" s="123" t="s">
        <v>348</v>
      </c>
      <c r="D139" s="123" t="s">
        <v>588</v>
      </c>
    </row>
    <row r="140" ht="22.5" customHeight="1">
      <c r="A140" s="122">
        <v>46200.94709490741</v>
      </c>
      <c r="B140" s="123" t="s">
        <v>589</v>
      </c>
      <c r="C140" s="123" t="s">
        <v>348</v>
      </c>
      <c r="D140" s="123" t="s">
        <v>590</v>
      </c>
    </row>
    <row r="141" ht="22.5" customHeight="1">
      <c r="A141" s="122">
        <v>46203.603113425925</v>
      </c>
      <c r="B141" s="123" t="s">
        <v>591</v>
      </c>
      <c r="C141" s="123" t="s">
        <v>348</v>
      </c>
      <c r="D141" s="123" t="s">
        <v>399</v>
      </c>
    </row>
    <row r="142" ht="22.5" customHeight="1">
      <c r="A142" s="122">
        <v>46203.60328703704</v>
      </c>
      <c r="B142" s="123" t="s">
        <v>592</v>
      </c>
      <c r="C142" s="123" t="s">
        <v>348</v>
      </c>
      <c r="D142" s="123" t="s">
        <v>593</v>
      </c>
    </row>
    <row r="143" ht="22.5" customHeight="1">
      <c r="A143" s="122">
        <v>46203.604780092595</v>
      </c>
      <c r="B143" s="123" t="s">
        <v>594</v>
      </c>
      <c r="C143" s="123" t="s">
        <v>348</v>
      </c>
      <c r="D143" s="123" t="s">
        <v>399</v>
      </c>
    </row>
    <row r="144" ht="22.5" customHeight="1">
      <c r="A144" s="122">
        <v>46203.605092592596</v>
      </c>
      <c r="B144" s="123" t="s">
        <v>595</v>
      </c>
      <c r="C144" s="123" t="s">
        <v>348</v>
      </c>
      <c r="D144" s="123" t="s">
        <v>593</v>
      </c>
    </row>
    <row r="145" ht="22.5" customHeight="1">
      <c r="A145" s="122">
        <v>46203.610555555555</v>
      </c>
      <c r="B145" s="123" t="s">
        <v>596</v>
      </c>
      <c r="C145" s="123" t="s">
        <v>348</v>
      </c>
      <c r="D145" s="123" t="s">
        <v>399</v>
      </c>
    </row>
    <row r="146" ht="22.5" customHeight="1">
      <c r="A146" s="122">
        <v>46203.610763888886</v>
      </c>
      <c r="B146" s="123" t="s">
        <v>597</v>
      </c>
      <c r="C146" s="123" t="s">
        <v>348</v>
      </c>
      <c r="D146" s="123" t="s">
        <v>593</v>
      </c>
    </row>
    <row r="147" ht="22.5" customHeight="1">
      <c r="A147" s="122">
        <v>46203.61138888889</v>
      </c>
      <c r="B147" s="123" t="s">
        <v>316</v>
      </c>
      <c r="C147" s="123" t="s">
        <v>348</v>
      </c>
      <c r="D147" s="123" t="s">
        <v>399</v>
      </c>
    </row>
  </sheetData>
  <drawing r:id="rId1"/>
  <tableParts count="1">
    <tablePart r:id="rId3"/>
  </tableParts>
</worksheet>
</file>
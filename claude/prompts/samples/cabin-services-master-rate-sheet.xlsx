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Version Log" sheetId="1" r:id="rId5"/>
    <sheet state="visible" name="Hourly Labor Rates" sheetId="2" r:id="rId6"/>
    <sheet state="visible" name="Maintenance Plan Rates" sheetId="3" r:id="rId7"/>
    <sheet state="visible" name="Inspection Plan Rates " sheetId="4" r:id="rId8"/>
    <sheet state="visible" name="Full-Service Plan Rates" sheetId="5" r:id="rId9"/>
    <sheet state="visible" name="Complexity Multipliers " sheetId="6" r:id="rId10"/>
    <sheet state="visible" name="Consumables and Shop Supplies" sheetId="7" r:id="rId11"/>
    <sheet state="visible" name="Summary &amp; Index" sheetId="8" r:id="rId12"/>
  </sheets>
  <definedNames/>
  <calcPr/>
</workbook>
</file>

<file path=xl/sharedStrings.xml><?xml version="1.0" encoding="utf-8"?>
<sst xmlns="http://schemas.openxmlformats.org/spreadsheetml/2006/main" count="451" uniqueCount="297">
  <si>
    <t>Timestamp</t>
  </si>
  <si>
    <t>Version</t>
  </si>
  <si>
    <t>User</t>
  </si>
  <si>
    <t>Note</t>
  </si>
  <si>
    <t>1.00.00</t>
  </si>
  <si>
    <t>ryan.k@smokypeak.tech</t>
  </si>
  <si>
    <t>Version reset to 1.00.00 — first publish.</t>
  </si>
  <si>
    <t>0.00.01</t>
  </si>
  <si>
    <t>Line edit detected on row 38, col 1 of Consumables and Shop Supplies</t>
  </si>
  <si>
    <t>0.00.02</t>
  </si>
  <si>
    <t>Line edit detected on row 38, col 2 of Consumables and Shop Supplies</t>
  </si>
  <si>
    <t>0.00.03</t>
  </si>
  <si>
    <t>Line edit detected on row 38, col 3 of Consumables and Shop Supplies</t>
  </si>
  <si>
    <t>0.00.04</t>
  </si>
  <si>
    <t>Line edit on row 38, col 1</t>
  </si>
  <si>
    <t>0.00.05</t>
  </si>
  <si>
    <t>Line edit on row 38, col 2</t>
  </si>
  <si>
    <t>0.00.06</t>
  </si>
  <si>
    <t>Line edit on row 38, col 3</t>
  </si>
  <si>
    <t>0.00.07</t>
  </si>
  <si>
    <t>Line edit on row 38, col 4</t>
  </si>
  <si>
    <t>0.00.08</t>
  </si>
  <si>
    <t>Line edit on row 38, col 5</t>
  </si>
  <si>
    <t>0.00.09</t>
  </si>
  <si>
    <t>Line edit on row 38, col 6</t>
  </si>
  <si>
    <t>Cabin Services Labor Rate Inputs</t>
  </si>
  <si>
    <t>Burden Multiplier</t>
  </si>
  <si>
    <t>Standard Billing Multiplier</t>
  </si>
  <si>
    <t>After Hours and Emergency Multiplier</t>
  </si>
  <si>
    <t>Holiday Rate Multiplier</t>
  </si>
  <si>
    <t>Discounted Rate Multiplier</t>
  </si>
  <si>
    <t>Position Title</t>
  </si>
  <si>
    <t>SKU</t>
  </si>
  <si>
    <t>Base Hourly Rate</t>
  </si>
  <si>
    <t>Actual Cost of Labor</t>
  </si>
  <si>
    <t>Standard Billing Rate</t>
  </si>
  <si>
    <t>After Hours and Emergency Rate</t>
  </si>
  <si>
    <t>Holiday Rate</t>
  </si>
  <si>
    <t>Discounted Rate</t>
  </si>
  <si>
    <t>Labor Rate Percentage</t>
  </si>
  <si>
    <t>Field Technician</t>
  </si>
  <si>
    <t>LAB-CBN-FLD-SPC</t>
  </si>
  <si>
    <t>Senior Field Technician</t>
  </si>
  <si>
    <t>LAB-CBN-SFT-SPC</t>
  </si>
  <si>
    <t>Contractor Coordination</t>
  </si>
  <si>
    <t>LAB-CBN-CCO-SPC</t>
  </si>
  <si>
    <t>Inspector</t>
  </si>
  <si>
    <t>LAB-CBN-INS-SPC</t>
  </si>
  <si>
    <t>Total Labor Rate Percentage</t>
  </si>
  <si>
    <t>Notes Block</t>
  </si>
  <si>
    <t>Burden multiplier of 1.85 covers payroll taxes, workers compensation, general liability, vehicle and equipment overhead, and administrative costs</t>
  </si>
  <si>
    <t>Standard billing rate reflects residential and STR service market rates for East Tennessee</t>
  </si>
  <si>
    <t>After hours and emergency rates apply to any work performed outside standard business hours or dispatched as an emergency response</t>
  </si>
  <si>
    <t>Holiday rates apply to work performed on company observed holidays</t>
  </si>
  <si>
    <t>Discounted rate is available for high volume contract clients or preferred account relationships at management discretion</t>
  </si>
  <si>
    <t>Contractor Coordination is billed at a flat rate independently from field labor and is not included in project labor percentage calculations</t>
  </si>
  <si>
    <t>Labor Rate Percentages are used in quoting to calculate blended labor totals and should always sum to 100% across billable field positions</t>
  </si>
  <si>
    <t>Maintenance Plan Rates</t>
  </si>
  <si>
    <t xml:space="preserve">Description </t>
  </si>
  <si>
    <t># of Bedrooms</t>
  </si>
  <si>
    <t>Maximum Bathrooms</t>
  </si>
  <si>
    <t>Rate</t>
  </si>
  <si>
    <t>Standard Studio or 1 Bedroom</t>
  </si>
  <si>
    <t>MP-1BE-1BA-STD</t>
  </si>
  <si>
    <t>Standard 2 Bedroom</t>
  </si>
  <si>
    <t>MP-2BE-2BA-STD</t>
  </si>
  <si>
    <t>Standard 3 Bedroom</t>
  </si>
  <si>
    <t>MP-3BE-3BA-STD</t>
  </si>
  <si>
    <t xml:space="preserve">Standard 4 bedroom </t>
  </si>
  <si>
    <t>MP-4BE-4BA-STD</t>
  </si>
  <si>
    <t>Standard 5 Bedroom</t>
  </si>
  <si>
    <t>MP-5BE-5BA-STD</t>
  </si>
  <si>
    <t xml:space="preserve">Custom Quote Special Property </t>
  </si>
  <si>
    <t>MP-CUS-QUO-SPL</t>
  </si>
  <si>
    <t>-</t>
  </si>
  <si>
    <t>Quoted</t>
  </si>
  <si>
    <t>Inspection Plan Rates</t>
  </si>
  <si>
    <t>CIP-1BE-1BA-STD</t>
  </si>
  <si>
    <t>CIP-2BE-2BA-STD</t>
  </si>
  <si>
    <t>CIP-3BE-3BA-STd</t>
  </si>
  <si>
    <t>CIP-4BE-4BA-STD</t>
  </si>
  <si>
    <t>CIP-5BE-5BA-STD</t>
  </si>
  <si>
    <t>CIP-CUS-QUO-SPL</t>
  </si>
  <si>
    <t xml:space="preserve">Full-Service Plan Rates (Maintenance &amp; Inspection) </t>
  </si>
  <si>
    <t>FSP-1BE-1BA-STD</t>
  </si>
  <si>
    <t>FSP-2BE-2BS-STD</t>
  </si>
  <si>
    <t>FSP-3BE-3BA-STD</t>
  </si>
  <si>
    <t>FSP-4BE-4BA-STD</t>
  </si>
  <si>
    <t>FSP-5BE-5BA-STD</t>
  </si>
  <si>
    <t>FSP-CUS-QUO-SPL</t>
  </si>
  <si>
    <t>Complexity Multipliers</t>
  </si>
  <si>
    <t>Description</t>
  </si>
  <si>
    <t>Multiplier Category</t>
  </si>
  <si>
    <t>Multiplier Type</t>
  </si>
  <si>
    <t>Applied Too?</t>
  </si>
  <si>
    <t>Modification Rate</t>
  </si>
  <si>
    <t>Note and Rules</t>
  </si>
  <si>
    <t>Additional Bathroom</t>
  </si>
  <si>
    <t>Amenity</t>
  </si>
  <si>
    <t>Fixed Rate</t>
  </si>
  <si>
    <t>Base Package Rate</t>
  </si>
  <si>
    <t>An additional bathroom is any full or partial bathroom that exists beyond the primary bathroom associated with the base bedroom count of the property. Includes all fixture types such as toilets, sinks, showers, and tubs. Each additional bathroom adds unclassified square footage and fixture count to the inspection and maintenance scope requiring additional time on every visit.</t>
  </si>
  <si>
    <t>On-Premise Swim Spa or Hot Tub</t>
  </si>
  <si>
    <t>A swim spa or hot tub is any on-premise hydrotherapy or recreational water fixture that requires function testing during inspections. Includes verification of heating elements, jet functionality, water clarity, cover condition, and accessible equipment. Repairs and chemical servicing must be completed by a certified vendor and are not included in the base inspection scope.</t>
  </si>
  <si>
    <t>On-Premise Sauna</t>
  </si>
  <si>
    <t>An on-premise sauna is any dedicated dry or steam heat enclosure located on the property that requires function testing during inspections. Includes verification of heating elements, controls, ventilation, and structural condition of the enclosure. Repairs to heating or electrical components must be completed by a certified vendor and are not included in the base inspection scope.</t>
  </si>
  <si>
    <t xml:space="preserve">In-Unit Spa Tub </t>
  </si>
  <si>
    <t>An in-unit spa tub is any jetted or whirlpool style bathtub installed within the primary dwelling that requires function testing beyond a standard bathtub inspection. Includes verification of jet functionality, drain performance, and visible plumbing access points. Repairs to jet systems or plumbing must be completed by a certified vendor and are not included in the base inspection scope.</t>
  </si>
  <si>
    <t>Vaulted Ceilings</t>
  </si>
  <si>
    <t>Structural</t>
  </si>
  <si>
    <t>Percentage Basis</t>
  </si>
  <si>
    <t>Vaulted ceilings are any ceiling structure that exceeds standard height and requires specialized access for routine maintenance tasks such as light fixture servicing, window cleaning, or ceiling fan maintenance. The percentage multiplier reflects the increased labor cost and access complexity on visits where elevated work is required and is spread across all billing cycles to balance the irregular nature of those tasks.</t>
  </si>
  <si>
    <t>Gas Fireplace</t>
  </si>
  <si>
    <t>A gas fireplace is any permanently installed gas fired hearth appliance that requires function testing and visual inspection during each visit. Includes verification of ignition, flame presentation, ventilation, and accessible gas connections. Repairs to gas lines, ignition systems, or ventilation components must be completed by a certified vendor and are not included in the base inspection scope.</t>
  </si>
  <si>
    <t>Wood Burning Fireplace</t>
  </si>
  <si>
    <t>A wood burning fireplace is any permanently installed solid fuel hearth appliance that requires periodic function and ventilation testing. A bi-annual inspection of the firebox, damper, and accessible flue components is included within the monthly multiplier rate. The percentage reflects the ongoing monitoring cost across all billing cycles with the bi-annual inspection absorbed into that recurring charge rather than billed as a separate line item.</t>
  </si>
  <si>
    <t>HVAC Access in Attic or Crawl Space</t>
  </si>
  <si>
    <t xml:space="preserve">Mechanical </t>
  </si>
  <si>
    <t>An attic or crawl space HVAC configuration is any heating or cooling system where primary components, ductwork, or air handlers are located in a space requiring non-standard access. Includes any system where the inspector must enter or access a confined, elevated, or below grade space to complete routine maintenance tasks. The percentage multiplier reflects the increased time and physical demands associated with access limitations on every qualifying visit.</t>
  </si>
  <si>
    <t>Smart Home Integrations</t>
  </si>
  <si>
    <t xml:space="preserve">Technology </t>
  </si>
  <si>
    <t>Smart home integrations are any network connected control systems installed on the property including but not limited to smart thermostats, automated lighting, connected locks, security systems, motorized shades, or whole home audio and video systems. The percentage multiplier reflects the increased scope of inspection and the technical knowledge required to verify system functionality, connectivity, and guest readiness on every visit.</t>
  </si>
  <si>
    <t>Home Theater or Luxury Living Rooms</t>
  </si>
  <si>
    <t>A home theater or luxury living room is any dedicated entertainment space containing premium audio, video, or experiential equipment beyond standard residential fixtures. Includes verification of display functionality, audio system operation, streaming device connectivity, seating condition, and any specialty lighting or control systems. The flat fee reflects the additional time required to inspect and document all entertainment package components on every visit.</t>
  </si>
  <si>
    <t>ADU Dwelling</t>
  </si>
  <si>
    <t>An ADU is a secondary dwelling unit on the same property that contains its own independent living fixtures including sleeping, cooking, and bathroom facilities. Typically presented as a studio or apartment style unit. Does not apply to bunk rooms, bonus rooms, or overflow sleeping areas that share primary dwelling amenities. Must be paired with the primary dwelling service plan to qualify for the ADU multiplier rate.</t>
  </si>
  <si>
    <t>Auxillery Shed or Garage</t>
  </si>
  <si>
    <t>Outdoor</t>
  </si>
  <si>
    <t>An auxiliary shed or garage is any detached or semi-detached outbuilding located on the property that falls outside the footprint of the primary dwelling and requires independent inspection during each visit. Includes verification of structural condition, door and lock functionality, electrical if present, and general interior condition. Does not apply to attached garages already captured within the primary dwelling square footage.</t>
  </si>
  <si>
    <t xml:space="preserve">Outdoor Kitchen </t>
  </si>
  <si>
    <t>An outdoor kitchen is any permanent exterior cooking and food preparation installation that requires inspection and functional verification during each visit. Includes verification of grill or cooktop operation, refrigeration if present, sink and plumbing connections, countertop and cabinetry condition, and any connected utilities. Repairs to gas lines, plumbing, or electrical components must be completed by a certified vendor and are not included in the base inspection scope.</t>
  </si>
  <si>
    <t xml:space="preserve">Game Room </t>
  </si>
  <si>
    <t>A game room is any dedicated recreational space containing equipment or games requiring inspection and functional verification beyond standard living area scope. Includes verification of game table condition, electronic gaming equipment functionality, seating condition, and any specialty lighting or audio systems present. The flat fee reflects the additional time required to inspect and document all recreational equipment on every visit.</t>
  </si>
  <si>
    <t>Bunk Room</t>
  </si>
  <si>
    <t>A bunk room is any unclassified space that has been converted to sleeping quarters but does not meet the definition of a bedroom. This includes loft conversions, living room conversions, or any open floor plan area being used for guest sleeping that was not originally designed or permitted as a bedroom. Does not apply if the space is an existing classified bedroom regardless of bed type.</t>
  </si>
  <si>
    <t>Loft Space</t>
  </si>
  <si>
    <t>A loft space is any open or semi-open elevated area within the primary dwelling that exists as unclassified square footage beyond the standard room count of the property. Includes any mezzanine, open upper level, or partial floor area used for sleeping, recreation, or storage that is not classified as a bedroom or dedicated room type. The flat fee reflects the additional square footage and access complexity added to the inspection scope on every visit.</t>
  </si>
  <si>
    <t>Screened Porch or Sunroom</t>
  </si>
  <si>
    <t>A screened porch or sunroom is any enclosed or semi-enclosed exterior living space attached to the primary dwelling that requires inspection beyond the standard interior scope. Includes verification of screen or window integrity, door and latch functionality, flooring condition, furniture condition, and any electrical or ceiling fan fixtures present. The flat fee reflects the additional time required to inspect this exterior living area on every visit.</t>
  </si>
  <si>
    <t xml:space="preserve">EV Charging Station </t>
  </si>
  <si>
    <t>An EV charging station is any permanently installed electric vehicle charging unit located on the property that requires verification of active power and operational status during each visit. Includes confirmation that the unit is powered, accessible, and free of visible damage or safety concerns. Load testing is not included within the scope of this inspection. Repairs or electrical servicing must be completed by a certified vendor and are not included in the base inspection scope.</t>
  </si>
  <si>
    <t>Elevator or Chair Lift</t>
  </si>
  <si>
    <t>An elevator or chair lift is any permanently installed vertical transport device located within the primary dwelling or on the property that requires functional verification during each visit. Includes verification of operational controls, safety features, door or gate functionality, and visible mechanical condition. Repairs and certified maintenance must be completed by a licensed vendor and are not included in the base inspection scope.</t>
  </si>
  <si>
    <t>Seasonal Access Limitations</t>
  </si>
  <si>
    <t>Access</t>
  </si>
  <si>
    <t>Seasonal access limitations apply to any property where primary access routes are subject to restriction due to terrain, weather conditions, road grade, or requirements for four wheel drive or high clearance vehicles. The percentage multiplier reflects the increased travel time, vehicle wear, and operational complexity associated with servicing properties under limited or restricted access conditions and applies for the duration of any qualifying access period.</t>
  </si>
  <si>
    <t xml:space="preserve">Consumables and Shop Supplies </t>
  </si>
  <si>
    <t>Product Description</t>
  </si>
  <si>
    <t>Manufacturer</t>
  </si>
  <si>
    <t>Part Number</t>
  </si>
  <si>
    <t>Waste Factor %</t>
  </si>
  <si>
    <t>Units</t>
  </si>
  <si>
    <t>Unit Cost</t>
  </si>
  <si>
    <t>Sale Price</t>
  </si>
  <si>
    <t>Labor Units</t>
  </si>
  <si>
    <t>Labor Rate</t>
  </si>
  <si>
    <t>128 FL OZ DISTILLED WHITE VINEGAR</t>
  </si>
  <si>
    <t>MEMBERS MARK</t>
  </si>
  <si>
    <t>CON-VIN-128-MEM</t>
  </si>
  <si>
    <t xml:space="preserve">FLUID OUNCES </t>
  </si>
  <si>
    <t xml:space="preserve">STANDARD AA BATTERY </t>
  </si>
  <si>
    <t>DURACELL</t>
  </si>
  <si>
    <t>MN15P36</t>
  </si>
  <si>
    <t>CON-BAT-AA-DUR</t>
  </si>
  <si>
    <t>EACH</t>
  </si>
  <si>
    <t>STANDARD AAA BATTERY</t>
  </si>
  <si>
    <t>MN24P36</t>
  </si>
  <si>
    <t>CON-BAT-AAA-DUR</t>
  </si>
  <si>
    <t>STANDARD 9V BATTERY</t>
  </si>
  <si>
    <t>MN1604BKD</t>
  </si>
  <si>
    <t>CON-BAT-9V-DUR</t>
  </si>
  <si>
    <t>STANDARD CR123A BATTERY</t>
  </si>
  <si>
    <t>AMAZON BASICS</t>
  </si>
  <si>
    <t>CR123AB/24FB</t>
  </si>
  <si>
    <t>CON-BAT-123-AMZ</t>
  </si>
  <si>
    <t xml:space="preserve">STANDARD CR2032 COIN BATTERY </t>
  </si>
  <si>
    <t>PHILLIPS</t>
  </si>
  <si>
    <t>CR2032</t>
  </si>
  <si>
    <t>CON-BAT-203-PHI</t>
  </si>
  <si>
    <t>STANDARD D BATTERY</t>
  </si>
  <si>
    <t>MN1300</t>
  </si>
  <si>
    <t>CON-BAT-D-DUR</t>
  </si>
  <si>
    <t>STANDARD C BATTERY</t>
  </si>
  <si>
    <t>MN1400</t>
  </si>
  <si>
    <t>CON-BAT-C-DUR</t>
  </si>
  <si>
    <t xml:space="preserve">RECHARGEABLE AA BATTERY </t>
  </si>
  <si>
    <t>210AAHCB</t>
  </si>
  <si>
    <t>CON-RBT-AA-AMZ</t>
  </si>
  <si>
    <t>RECHARGEABLE AAA BATTERY</t>
  </si>
  <si>
    <t>85AAAHCB</t>
  </si>
  <si>
    <t>CON-RBT-AAA-AMZ</t>
  </si>
  <si>
    <t>RECHARGEABLE 9V BATTERY</t>
  </si>
  <si>
    <t>COR00003</t>
  </si>
  <si>
    <t>CON-RBT-9V-AMZ</t>
  </si>
  <si>
    <t>RECHARGEABLE C BATTERY</t>
  </si>
  <si>
    <t>COR00001</t>
  </si>
  <si>
    <t>CON-RBT-C-AMZ</t>
  </si>
  <si>
    <t>RECHARGEABLE D BATTERY</t>
  </si>
  <si>
    <t>COR00002</t>
  </si>
  <si>
    <t>CON-RBT-D-AMZ</t>
  </si>
  <si>
    <t>60W DAYLIGHT WHITE 5000K A19 LED BULB</t>
  </si>
  <si>
    <t>FG-03830</t>
  </si>
  <si>
    <t>CON-A19-DLW-AMZ</t>
  </si>
  <si>
    <t>60W WARM WHITE 3000K A19 LED BULB</t>
  </si>
  <si>
    <t>FG-03979</t>
  </si>
  <si>
    <t>CON-A19-WW-AMZ</t>
  </si>
  <si>
    <t>60W SOFT WHITE 2700K A19 LED BULB</t>
  </si>
  <si>
    <t>FG-03832</t>
  </si>
  <si>
    <t>CON-A19-SW-AMZ</t>
  </si>
  <si>
    <t>65W SOFT WHITE 2700K BR30 LED BULB</t>
  </si>
  <si>
    <t>FG-03450</t>
  </si>
  <si>
    <t>CON-BR30-SW-AMZ</t>
  </si>
  <si>
    <t>65W DAYLIGHT WHITE 5000K BR30 LED BULB</t>
  </si>
  <si>
    <t>FG-03453</t>
  </si>
  <si>
    <t>CON-BR30-DLW-AMZ</t>
  </si>
  <si>
    <t>60W DAYLIGHT WHITE 5000K B10 LED BULB</t>
  </si>
  <si>
    <t>SYLVANIA</t>
  </si>
  <si>
    <t>CON-B10-DLW-SYL</t>
  </si>
  <si>
    <t>50W WARM WHITE 3000K PAR16 LED BULB</t>
  </si>
  <si>
    <t>CON-PAR-WW-PHI</t>
  </si>
  <si>
    <t>45W SOFT WHITE 2700K R20 LED BULB</t>
  </si>
  <si>
    <t>CON-R20-SW-PHI</t>
  </si>
  <si>
    <t>45W DAYLIGHT WHITE 5000K R20 LED BULB</t>
  </si>
  <si>
    <t xml:space="preserve">PHILLIPS </t>
  </si>
  <si>
    <t>CON-R20-DLW-PHI</t>
  </si>
  <si>
    <t>50W WARM WHITE 3000K MR16 LED BULB</t>
  </si>
  <si>
    <t>FG-03434</t>
  </si>
  <si>
    <t>CON-MR16-WW-AMZ</t>
  </si>
  <si>
    <t>50W DAYLIGHT WHITE 5000K MR16 LED BULB</t>
  </si>
  <si>
    <t>FG-03435</t>
  </si>
  <si>
    <t>CON-MR16-DLW-AMZ</t>
  </si>
  <si>
    <t xml:space="preserve">EACH </t>
  </si>
  <si>
    <t>RID-X SEPTIC TANK TREATMENT PODS</t>
  </si>
  <si>
    <t>RID-X</t>
  </si>
  <si>
    <t>CON-RID-SEP-TRM</t>
  </si>
  <si>
    <t>KITCHEN PAPER TOWELS 2-PLY</t>
  </si>
  <si>
    <t>GENUINE JOE</t>
  </si>
  <si>
    <t>GJO24085</t>
  </si>
  <si>
    <t>CON-2PY-PT-GEJ</t>
  </si>
  <si>
    <t>42 GALLON 3MIL BLACK GARBAGE BAG</t>
  </si>
  <si>
    <t>COMMANDER</t>
  </si>
  <si>
    <t>CON-3MI-BLA-COM</t>
  </si>
  <si>
    <t>KITCHEN &amp; BATH KWIK SEAL PLUS WHITE SEALANT</t>
  </si>
  <si>
    <t>DAP</t>
  </si>
  <si>
    <t>CON-KWI-WHI-KB-DAP</t>
  </si>
  <si>
    <t xml:space="preserve">KITCHEN &amp; BATH ADVANCED SILICONE CLEAR </t>
  </si>
  <si>
    <t>GE</t>
  </si>
  <si>
    <t>CON-SIL-CLE-KB-GE</t>
  </si>
  <si>
    <t>WINDOW &amp; DOOR SUPREME SILICONE WHITE</t>
  </si>
  <si>
    <t>CON-SIL-WHI-WD-GE</t>
  </si>
  <si>
    <t>WINDOW &amp; DOOR SUPREME SILICONE CLEAR</t>
  </si>
  <si>
    <t>CON-SIL-CLE-WD-GE</t>
  </si>
  <si>
    <t>PROPANE TANK EXCHANGE STANDARD 20LBS TANK (SERVICE FEE)</t>
  </si>
  <si>
    <t>SMOKY PEAK CS</t>
  </si>
  <si>
    <t>20LB-LP</t>
  </si>
  <si>
    <t>SVC-PRO-EXC-SCS</t>
  </si>
  <si>
    <t xml:space="preserve">LIQUID PROPANE (PRODUCT PASS-THRU) </t>
  </si>
  <si>
    <t>ACE HARDWARE</t>
  </si>
  <si>
    <t>LP-XLBS</t>
  </si>
  <si>
    <t>CON-PRO-FIL-RET</t>
  </si>
  <si>
    <t>MRKT RATE</t>
  </si>
  <si>
    <t>PROPANE REFILL OVERSIZE TANKS 21LBS-100LBS (SERVICE FEE)</t>
  </si>
  <si>
    <t>XL-LP</t>
  </si>
  <si>
    <t>SVC-PRO-REF-LRG</t>
  </si>
  <si>
    <t>PROPANE TANK DISPOSAL FEE (SERVICE FEE)</t>
  </si>
  <si>
    <t>PRO-DIS</t>
  </si>
  <si>
    <t>SVC-PRO-DIS-EXP</t>
  </si>
  <si>
    <t>Column J Labor Rate is dynamically linked to the Field Technician Standard Billing Rate on the Hourly Labor Rates tab. Any change to the Field Technician base rate or burden and billing multipliers on the labor rate sheet will automatically recalculate the labor rate applied to all consumable and shop supply line items. Do not manually edit column J values as they will be overwritten by the linked formula.</t>
  </si>
  <si>
    <t>Sheet Summary &amp; Version Index</t>
  </si>
  <si>
    <t>Current Version</t>
  </si>
  <si>
    <t>Last Modified</t>
  </si>
  <si>
    <t>Block 1 (Major) Trigger</t>
  </si>
  <si>
    <t>Block 2 (Minor) Trigger</t>
  </si>
  <si>
    <t>Block 3 (Line) Trigger</t>
  </si>
  <si>
    <t>Status</t>
  </si>
  <si>
    <t>New pages, tables, or 4+ page edits</t>
  </si>
  <si>
    <t>Small revisions, formula/rate changes</t>
  </si>
  <si>
    <t>Line edits, adding to data structures</t>
  </si>
  <si>
    <t>Active</t>
  </si>
  <si>
    <t>Workbook-Wide Notes</t>
  </si>
  <si>
    <t>This workbook uses dynamic links to automatically calculate rates. The Consumables and Shop Supplies tab is dynamically linked to the Field Technician Standard Billing Rate. Version control is managed via the Apps Script menu. Use the Version Counter to increment major, minor, or line edits appropriately.</t>
  </si>
  <si>
    <t>Tab Index &amp; Descriptions</t>
  </si>
  <si>
    <t>Tab Name</t>
  </si>
  <si>
    <t>Primary Use</t>
  </si>
  <si>
    <t>Hourly Labor Rates</t>
  </si>
  <si>
    <t>Defines base rates, multipliers, and billing rates for field positions.</t>
  </si>
  <si>
    <t>Labor Pricing</t>
  </si>
  <si>
    <t>Lists multipliers applied to services based on job complexity.</t>
  </si>
  <si>
    <t>Pricing Modifiers</t>
  </si>
  <si>
    <t>Full-Service Plan Rates</t>
  </si>
  <si>
    <t>Flat rates for full-service plans based on property size.</t>
  </si>
  <si>
    <t>Service Plans</t>
  </si>
  <si>
    <t>Flat rates for maintenance plans based on property size.</t>
  </si>
  <si>
    <t>Flat rates for inspection plans based on property size.</t>
  </si>
  <si>
    <t>Consumables and Shop Supplies</t>
  </si>
  <si>
    <t>Pricing and labor units for materials, dynamically linked to labor rates.</t>
  </si>
  <si>
    <t>Material Pricing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</si>
</sst>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quot;$&quot;#,##0.00"/>
    <numFmt numFmtId="166" formatCode="$#,##0.00"/>
    <numFmt numFmtId="167" formatCode="0.0%"/>
    <numFmt numFmtId="168" formatCode="yyyy-mm-dd"/>
  </numFmts>
  <fonts count="13">
    <font>
      <sz val="10.0"/>
      <color rgb="FF000000"/>
      <name val="Arial"/>
      <scheme val="minor"/>
    </font>
    <font>
      <b/>
      <color theme="1"/>
      <name val="Arial"/>
      <scheme val="minor"/>
    </font>
    <font>
      <color theme="1"/>
      <name val="Arial"/>
      <scheme val="minor"/>
    </font>
    <font>
      <u/>
      <color theme="1"/>
      <name val="Arial"/>
      <scheme val="minor"/>
    </font>
    <font>
      <b/>
      <color rgb="FFFFFFFF"/>
      <name val="Arial"/>
      <scheme val="minor"/>
    </font>
    <font/>
    <font>
      <u/>
      <color theme="1"/>
      <name val="Arial"/>
      <scheme val="minor"/>
    </font>
    <font>
      <color rgb="FF0F1111"/>
      <name val="Arial"/>
    </font>
    <font>
      <sz val="11.0"/>
      <color rgb="FF333333"/>
      <name val="Arial"/>
    </font>
    <font>
      <b/>
      <sz val="24.0"/>
      <color rgb="FF3B6939"/>
      <name val="Montserrat"/>
    </font>
    <font>
      <b/>
      <sz val="11.0"/>
      <color rgb="FFFFFFFF"/>
      <name val="Montserrat"/>
    </font>
    <font>
      <sz val="10.0"/>
      <color theme="1"/>
      <name val="Roboto"/>
    </font>
    <font>
      <b/>
      <sz val="14.0"/>
      <color rgb="FF3B6939"/>
      <name val="Montserrat"/>
    </font>
  </fonts>
  <fills count="15">
    <fill>
      <patternFill patternType="none"/>
    </fill>
    <fill>
      <patternFill patternType="lightGray"/>
    </fill>
    <fill>
      <patternFill patternType="solid">
        <fgColor rgb="FF38761D"/>
        <bgColor rgb="FF38761D"/>
      </patternFill>
    </fill>
    <fill>
      <patternFill patternType="solid">
        <fgColor rgb="FFD0E0E3"/>
        <bgColor rgb="FFD0E0E3"/>
      </patternFill>
    </fill>
    <fill>
      <patternFill patternType="solid">
        <fgColor rgb="FF274E13"/>
        <bgColor rgb="FF274E13"/>
      </patternFill>
    </fill>
    <fill>
      <patternFill patternType="solid">
        <fgColor rgb="FFD9EAD2"/>
        <bgColor rgb="FFD9EAD2"/>
      </patternFill>
    </fill>
    <fill>
      <patternFill patternType="solid">
        <fgColor rgb="FF004D00"/>
        <bgColor rgb="FF004D00"/>
      </patternFill>
    </fill>
    <fill>
      <patternFill patternType="solid">
        <fgColor rgb="FFD9EAD3"/>
        <bgColor rgb="FFD9EAD3"/>
      </patternFill>
    </fill>
    <fill>
      <patternFill patternType="solid">
        <fgColor rgb="FF006300"/>
        <bgColor rgb="FF006300"/>
      </patternFill>
    </fill>
    <fill>
      <patternFill patternType="solid">
        <fgColor rgb="FF1B5E1F"/>
        <bgColor rgb="FF1B5E1F"/>
      </patternFill>
    </fill>
    <fill>
      <patternFill patternType="solid">
        <fgColor rgb="FF35683D"/>
        <bgColor rgb="FF35683D"/>
      </patternFill>
    </fill>
    <fill>
      <patternFill patternType="solid">
        <fgColor rgb="FFFFFFFF"/>
        <bgColor rgb="FFFFFFFF"/>
      </patternFill>
    </fill>
    <fill>
      <patternFill patternType="solid">
        <fgColor rgb="FF3B6939"/>
        <bgColor rgb="FF3B6939"/>
      </patternFill>
    </fill>
    <fill>
      <patternFill patternType="solid">
        <fgColor rgb="FFEBEEE6"/>
        <bgColor rgb="FFEBEEE6"/>
      </patternFill>
    </fill>
    <fill>
      <patternFill patternType="solid">
        <fgColor rgb="FFF6FAF0"/>
        <bgColor rgb="FFF6FAF0"/>
      </patternFill>
    </fill>
  </fills>
  <borders count="5">
    <border/>
    <border>
      <left style="medium">
        <color rgb="FF93C47D"/>
      </left>
      <right style="medium">
        <color rgb="FF93C47D"/>
      </right>
      <top style="medium">
        <color rgb="FF93C47D"/>
      </top>
      <bottom style="medium">
        <color rgb="FF93C47D"/>
      </bottom>
    </border>
    <border>
      <left style="medium">
        <color rgb="FF93C47D"/>
      </left>
      <top style="medium">
        <color rgb="FF93C47D"/>
      </top>
      <bottom style="medium">
        <color rgb="FF93C47D"/>
      </bottom>
    </border>
    <border>
      <top style="medium">
        <color rgb="FF93C47D"/>
      </top>
      <bottom style="medium">
        <color rgb="FF93C47D"/>
      </bottom>
    </border>
    <border>
      <right style="medium">
        <color rgb="FF93C47D"/>
      </right>
      <top style="medium">
        <color rgb="FF93C47D"/>
      </top>
      <bottom style="medium">
        <color rgb="FF93C47D"/>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1" fillId="2" fontId="4" numFmtId="0" xfId="0" applyBorder="1" applyFill="1" applyFont="1"/>
    <xf borderId="1" fillId="0" fontId="2" numFmtId="0" xfId="0" applyAlignment="1" applyBorder="1" applyFont="1">
      <alignment readingOrder="0"/>
    </xf>
    <xf borderId="1" fillId="3" fontId="2" numFmtId="0" xfId="0" applyBorder="1" applyFill="1" applyFont="1"/>
    <xf borderId="1" fillId="4" fontId="4" numFmtId="0" xfId="0" applyAlignment="1" applyBorder="1" applyFill="1" applyFont="1">
      <alignment horizontal="center" readingOrder="0" shrinkToFit="0" wrapText="1"/>
    </xf>
    <xf borderId="1" fillId="5" fontId="2" numFmtId="0" xfId="0" applyAlignment="1" applyBorder="1" applyFill="1" applyFont="1">
      <alignment readingOrder="0"/>
    </xf>
    <xf borderId="1" fillId="5" fontId="2" numFmtId="0" xfId="0" applyAlignment="1" applyBorder="1" applyFont="1">
      <alignment readingOrder="0"/>
    </xf>
    <xf borderId="1" fillId="5" fontId="2" numFmtId="0" xfId="0" applyBorder="1" applyFont="1"/>
    <xf borderId="1" fillId="5" fontId="2" numFmtId="10" xfId="0" applyAlignment="1" applyBorder="1" applyFont="1" applyNumberFormat="1">
      <alignment readingOrder="0"/>
    </xf>
    <xf borderId="1" fillId="0" fontId="2" numFmtId="0" xfId="0" applyAlignment="1" applyBorder="1" applyFont="1">
      <alignment readingOrder="0"/>
    </xf>
    <xf borderId="1" fillId="0" fontId="2" numFmtId="0" xfId="0" applyAlignment="1" applyBorder="1" applyFont="1">
      <alignment readingOrder="0"/>
    </xf>
    <xf borderId="1" fillId="0" fontId="2" numFmtId="0" xfId="0" applyBorder="1" applyFont="1"/>
    <xf borderId="1" fillId="0" fontId="2" numFmtId="10" xfId="0" applyAlignment="1" applyBorder="1" applyFont="1" applyNumberFormat="1">
      <alignment readingOrder="0"/>
    </xf>
    <xf borderId="2" fillId="0" fontId="2" numFmtId="0" xfId="0" applyBorder="1" applyFont="1"/>
    <xf borderId="3" fillId="0" fontId="5" numFmtId="0" xfId="0" applyBorder="1" applyFont="1"/>
    <xf borderId="4" fillId="0" fontId="5" numFmtId="0" xfId="0" applyBorder="1" applyFont="1"/>
    <xf borderId="1" fillId="0" fontId="2" numFmtId="10" xfId="0" applyBorder="1" applyFont="1" applyNumberFormat="1"/>
    <xf borderId="1" fillId="0" fontId="1" numFmtId="0" xfId="0" applyAlignment="1" applyBorder="1" applyFont="1">
      <alignment readingOrder="0" shrinkToFit="0" wrapText="1"/>
    </xf>
    <xf borderId="2" fillId="0" fontId="2" numFmtId="0" xfId="0" applyAlignment="1" applyBorder="1" applyFont="1">
      <alignment readingOrder="0" shrinkToFit="0" wrapText="1"/>
    </xf>
    <xf borderId="2" fillId="6" fontId="4" numFmtId="0" xfId="0" applyAlignment="1" applyBorder="1" applyFill="1" applyFont="1">
      <alignment horizontal="center" readingOrder="0" shrinkToFit="0" wrapText="0"/>
    </xf>
    <xf borderId="0" fillId="0" fontId="1" numFmtId="0" xfId="0" applyAlignment="1" applyFont="1">
      <alignment horizontal="center" readingOrder="0" shrinkToFit="0" wrapText="0"/>
    </xf>
    <xf borderId="1" fillId="6" fontId="4" numFmtId="0" xfId="0" applyAlignment="1" applyBorder="1" applyFont="1">
      <alignment horizontal="center" readingOrder="0"/>
    </xf>
    <xf borderId="0" fillId="0" fontId="1" numFmtId="0" xfId="0" applyAlignment="1" applyFont="1">
      <alignment horizontal="center" readingOrder="0"/>
    </xf>
    <xf borderId="1" fillId="7" fontId="2" numFmtId="0" xfId="0" applyAlignment="1" applyBorder="1" applyFill="1" applyFont="1">
      <alignment readingOrder="0"/>
    </xf>
    <xf borderId="1" fillId="7" fontId="2" numFmtId="165" xfId="0" applyAlignment="1" applyBorder="1" applyFont="1" applyNumberFormat="1">
      <alignment readingOrder="0"/>
    </xf>
    <xf borderId="0" fillId="0" fontId="2" numFmtId="0" xfId="0" applyAlignment="1" applyFont="1">
      <alignment readingOrder="0"/>
    </xf>
    <xf borderId="1" fillId="0" fontId="2" numFmtId="0" xfId="0" applyAlignment="1" applyBorder="1" applyFont="1">
      <alignment readingOrder="0"/>
    </xf>
    <xf borderId="1" fillId="0" fontId="2" numFmtId="165" xfId="0" applyAlignment="1" applyBorder="1" applyFont="1" applyNumberFormat="1">
      <alignment readingOrder="0"/>
    </xf>
    <xf borderId="1" fillId="0" fontId="2" numFmtId="0" xfId="0" applyAlignment="1" applyBorder="1" applyFont="1">
      <alignment horizontal="right" readingOrder="0"/>
    </xf>
    <xf borderId="1" fillId="0" fontId="2" numFmtId="165" xfId="0" applyAlignment="1" applyBorder="1" applyFont="1" applyNumberFormat="1">
      <alignment horizontal="right" readingOrder="0"/>
    </xf>
    <xf borderId="0" fillId="0" fontId="6" numFmtId="0" xfId="0" applyFont="1"/>
    <xf borderId="2" fillId="8" fontId="4" numFmtId="0" xfId="0" applyAlignment="1" applyBorder="1" applyFill="1" applyFont="1">
      <alignment horizontal="center" readingOrder="0" shrinkToFit="0" wrapText="0"/>
    </xf>
    <xf borderId="1" fillId="8" fontId="4" numFmtId="0" xfId="0" applyAlignment="1" applyBorder="1" applyFont="1">
      <alignment horizontal="center" readingOrder="0"/>
    </xf>
    <xf borderId="1" fillId="7" fontId="2" numFmtId="0" xfId="0" applyAlignment="1" applyBorder="1" applyFont="1">
      <alignment readingOrder="0"/>
    </xf>
    <xf borderId="1" fillId="7" fontId="2" numFmtId="165" xfId="0" applyAlignment="1" applyBorder="1" applyFont="1" applyNumberFormat="1">
      <alignment readingOrder="0"/>
    </xf>
    <xf borderId="2" fillId="9" fontId="4" numFmtId="0" xfId="0" applyAlignment="1" applyBorder="1" applyFill="1" applyFont="1">
      <alignment horizontal="center" readingOrder="0" shrinkToFit="0" wrapText="0"/>
    </xf>
    <xf borderId="1" fillId="9" fontId="4" numFmtId="0" xfId="0" applyAlignment="1" applyBorder="1" applyFont="1">
      <alignment horizontal="center" readingOrder="0"/>
    </xf>
    <xf borderId="2" fillId="9" fontId="4" numFmtId="0" xfId="0" applyAlignment="1" applyBorder="1" applyFont="1">
      <alignment horizontal="center" readingOrder="0"/>
    </xf>
    <xf borderId="1" fillId="9" fontId="4" numFmtId="0" xfId="0" applyAlignment="1" applyBorder="1" applyFont="1">
      <alignment readingOrder="0"/>
    </xf>
    <xf borderId="1" fillId="0" fontId="2" numFmtId="166" xfId="0" applyAlignment="1" applyBorder="1" applyFont="1" applyNumberFormat="1">
      <alignment readingOrder="0"/>
    </xf>
    <xf borderId="1" fillId="0" fontId="2" numFmtId="0" xfId="0" applyAlignment="1" applyBorder="1" applyFont="1">
      <alignment readingOrder="0" shrinkToFit="0" wrapText="1"/>
    </xf>
    <xf borderId="1" fillId="0" fontId="2" numFmtId="10" xfId="0" applyAlignment="1" applyBorder="1" applyFont="1" applyNumberFormat="1">
      <alignment readingOrder="0"/>
    </xf>
    <xf borderId="2" fillId="10" fontId="4" numFmtId="0" xfId="0" applyAlignment="1" applyBorder="1" applyFill="1" applyFont="1">
      <alignment horizontal="center" readingOrder="0" shrinkToFit="0" wrapText="1"/>
    </xf>
    <xf borderId="1" fillId="10" fontId="4" numFmtId="0" xfId="0" applyAlignment="1" applyBorder="1" applyFont="1">
      <alignment horizontal="center" readingOrder="0" shrinkToFit="0" wrapText="1"/>
    </xf>
    <xf borderId="1" fillId="10" fontId="4" numFmtId="0" xfId="0" applyAlignment="1" applyBorder="1" applyFont="1">
      <alignment horizontal="center" readingOrder="0"/>
    </xf>
    <xf borderId="1" fillId="0" fontId="2" numFmtId="0" xfId="0" applyAlignment="1" applyBorder="1" applyFont="1">
      <alignment horizontal="left" readingOrder="0"/>
    </xf>
    <xf borderId="1" fillId="0" fontId="2" numFmtId="167" xfId="0" applyAlignment="1" applyBorder="1" applyFont="1" applyNumberFormat="1">
      <alignment readingOrder="0"/>
    </xf>
    <xf borderId="1" fillId="0" fontId="2" numFmtId="165" xfId="0" applyBorder="1" applyFont="1" applyNumberFormat="1"/>
    <xf borderId="1" fillId="0" fontId="2" numFmtId="167" xfId="0" applyAlignment="1" applyBorder="1" applyFont="1" applyNumberFormat="1">
      <alignment readingOrder="0" shrinkToFit="0" wrapText="1"/>
    </xf>
    <xf borderId="1" fillId="11" fontId="7" numFmtId="0" xfId="0" applyAlignment="1" applyBorder="1" applyFill="1" applyFont="1">
      <alignment readingOrder="0" shrinkToFit="0" wrapText="1"/>
    </xf>
    <xf borderId="1" fillId="11" fontId="8" numFmtId="0" xfId="0" applyAlignment="1" applyBorder="1" applyFont="1">
      <alignment readingOrder="0"/>
    </xf>
    <xf borderId="1" fillId="11" fontId="8" numFmtId="0" xfId="0" applyAlignment="1" applyBorder="1" applyFont="1">
      <alignment horizontal="left" readingOrder="0"/>
    </xf>
    <xf borderId="0" fillId="0" fontId="2" numFmtId="0" xfId="0" applyAlignment="1" applyFont="1">
      <alignment shrinkToFit="0" wrapText="1"/>
    </xf>
    <xf borderId="0" fillId="0" fontId="9" numFmtId="0" xfId="0" applyAlignment="1" applyFont="1">
      <alignment readingOrder="0"/>
    </xf>
    <xf borderId="0" fillId="12" fontId="10" numFmtId="0" xfId="0" applyAlignment="1" applyFill="1" applyFont="1">
      <alignment horizontal="center" readingOrder="0" shrinkToFit="0" vertical="center" wrapText="1"/>
    </xf>
    <xf borderId="0" fillId="13" fontId="11" numFmtId="0" xfId="0" applyAlignment="1" applyFill="1" applyFont="1">
      <alignment horizontal="center" readingOrder="0" shrinkToFit="0" vertical="center" wrapText="1"/>
    </xf>
    <xf borderId="0" fillId="13" fontId="11" numFmtId="168" xfId="0" applyAlignment="1" applyFont="1" applyNumberFormat="1">
      <alignment horizontal="center" readingOrder="0" shrinkToFit="0" vertical="center" wrapText="1"/>
    </xf>
    <xf borderId="0" fillId="0" fontId="2" numFmtId="168" xfId="0" applyAlignment="1" applyFont="1" applyNumberFormat="1">
      <alignment readingOrder="0"/>
    </xf>
    <xf borderId="0" fillId="0" fontId="12" numFmtId="0" xfId="0" applyAlignment="1" applyFont="1">
      <alignment readingOrder="0"/>
    </xf>
    <xf borderId="0" fillId="0" fontId="11" numFmtId="0" xfId="0" applyAlignment="1" applyFont="1">
      <alignment readingOrder="0" shrinkToFit="0" vertical="top" wrapText="1"/>
    </xf>
    <xf borderId="0" fillId="12" fontId="10" numFmtId="0" xfId="0" applyAlignment="1" applyFont="1">
      <alignment readingOrder="0"/>
    </xf>
    <xf borderId="0" fillId="14" fontId="11" numFmtId="0" xfId="0" applyAlignment="1" applyFill="1" applyFont="1">
      <alignment readingOrder="0" shrinkToFit="0" vertical="center" wrapText="1"/>
    </xf>
    <xf borderId="0" fillId="0" fontId="11" numFmtId="0" xfId="0" applyAlignment="1" applyFont="1">
      <alignment readingOrder="0" shrinkToFit="0" vertical="center" wrapText="1"/>
    </xf>
    <xf borderId="0" fillId="0" fontId="12" numFmtId="0" xfId="0" applyFont="1"/>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6FFE6"/>
          <bgColor rgb="FFE6FFE6"/>
        </patternFill>
      </fill>
      <border/>
    </dxf>
    <dxf>
      <font/>
      <fill>
        <patternFill patternType="solid">
          <fgColor rgb="FFE8F4E8"/>
          <bgColor rgb="FFE8F4E8"/>
        </patternFill>
      </fill>
      <border/>
    </dxf>
    <dxf>
      <font/>
      <fill>
        <patternFill patternType="solid">
          <fgColor rgb="FFE8F5E9"/>
          <bgColor rgb="FFE8F5E9"/>
        </patternFill>
      </fill>
      <border/>
    </dxf>
    <dxf>
      <font/>
      <fill>
        <patternFill patternType="solid">
          <fgColor rgb="FFEAF7EA"/>
          <bgColor rgb="FFEAF7EA"/>
        </patternFill>
      </fill>
      <border/>
    </dxf>
    <dxf>
      <font/>
      <fill>
        <patternFill patternType="solid">
          <fgColor rgb="FFF6FAF1"/>
          <bgColor rgb="FFF6FAF1"/>
        </patternFill>
      </fill>
      <border/>
    </dxf>
  </dxfs>
  <tableStyles count="6">
    <tableStyle count="4" pivot="0" name="Version Log-style">
      <tableStyleElement dxfId="1" type="headerRow"/>
      <tableStyleElement dxfId="2" type="firstRowStripe"/>
      <tableStyleElement dxfId="3" type="secondRowStripe"/>
      <tableStyleElement dxfId="4" size="0" type="wholeTable"/>
    </tableStyle>
    <tableStyle count="2" pivot="0" name="Maintenance Plan Rates-style">
      <tableStyleElement dxfId="5" type="firstRowStripe"/>
      <tableStyleElement dxfId="2" type="secondRowStripe"/>
    </tableStyle>
    <tableStyle count="2" pivot="0" name="Inspection Plan Rates -style">
      <tableStyleElement dxfId="2" type="firstRowStripe"/>
      <tableStyleElement dxfId="6" type="secondRowStripe"/>
    </tableStyle>
    <tableStyle count="2" pivot="0" name="Full-Service Plan Rates-style">
      <tableStyleElement dxfId="2" type="firstRowStripe"/>
      <tableStyleElement dxfId="7" type="secondRowStripe"/>
    </tableStyle>
    <tableStyle count="2" pivot="0" name="Complexity Multipliers -style">
      <tableStyleElement dxfId="8" type="firstRowStripe"/>
      <tableStyleElement dxfId="2" type="secondRowStripe"/>
    </tableStyle>
    <tableStyle count="2" pivot="0" name="Consumables and Shop Supplies-style">
      <tableStyleElement dxfId="9"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1" displayName="Version_Log" name="Version_Log" id="1">
  <tableColumns count="4">
    <tableColumn name="Timestamp" id="1"/>
    <tableColumn name="Version" id="2"/>
    <tableColumn name="User" id="3"/>
    <tableColumn name="Note" id="4"/>
  </tableColumns>
  <tableStyleInfo name="Version Log-style" showColumnStripes="0" showFirstColumn="1" showLastColumn="1" showRowStripes="1"/>
</table>
</file>

<file path=xl/tables/table2.xml><?xml version="1.0" encoding="utf-8"?>
<table xmlns="http://schemas.openxmlformats.org/spreadsheetml/2006/main" headerRowCount="0" ref="A3:E8" displayName="Table_1" name="Table_1" id="2">
  <tableColumns count="5">
    <tableColumn name="Column1" id="1"/>
    <tableColumn name="Column2" id="2"/>
    <tableColumn name="Column3" id="3"/>
    <tableColumn name="Column4" id="4"/>
    <tableColumn name="Column5" id="5"/>
  </tableColumns>
  <tableStyleInfo name="Maintenance Plan Rates-style" showColumnStripes="0" showFirstColumn="1" showLastColumn="1" showRowStripes="1"/>
</table>
</file>

<file path=xl/tables/table3.xml><?xml version="1.0" encoding="utf-8"?>
<table xmlns="http://schemas.openxmlformats.org/spreadsheetml/2006/main" headerRowCount="0" ref="A3:E8" displayName="Table_2" name="Table_2" id="3">
  <tableColumns count="5">
    <tableColumn name="Column1" id="1"/>
    <tableColumn name="Column2" id="2"/>
    <tableColumn name="Column3" id="3"/>
    <tableColumn name="Column4" id="4"/>
    <tableColumn name="Column5" id="5"/>
  </tableColumns>
  <tableStyleInfo name="Inspection Plan Rates -style" showColumnStripes="0" showFirstColumn="1" showLastColumn="1" showRowStripes="1"/>
</table>
</file>

<file path=xl/tables/table4.xml><?xml version="1.0" encoding="utf-8"?>
<table xmlns="http://schemas.openxmlformats.org/spreadsheetml/2006/main" headerRowCount="0" ref="A3:E8" displayName="Table_3" name="Table_3" id="4">
  <tableColumns count="5">
    <tableColumn name="Column1" id="1"/>
    <tableColumn name="Column2" id="2"/>
    <tableColumn name="Column3" id="3"/>
    <tableColumn name="Column4" id="4"/>
    <tableColumn name="Column5" id="5"/>
  </tableColumns>
  <tableStyleInfo name="Full-Service Plan Rates-style" showColumnStripes="0" showFirstColumn="1" showLastColumn="1" showRowStripes="1"/>
</table>
</file>

<file path=xl/tables/table5.xml><?xml version="1.0" encoding="utf-8"?>
<table xmlns="http://schemas.openxmlformats.org/spreadsheetml/2006/main" headerRowCount="0" ref="A3:F22" displayName="Table_4" name="Table_4" id="5">
  <tableColumns count="6">
    <tableColumn name="Column1" id="1"/>
    <tableColumn name="Column2" id="2"/>
    <tableColumn name="Column3" id="3"/>
    <tableColumn name="Column4" id="4"/>
    <tableColumn name="Column5" id="5"/>
    <tableColumn name="Column6" id="6"/>
  </tableColumns>
  <tableStyleInfo name="Complexity Multipliers -style" showColumnStripes="0" showFirstColumn="1" showLastColumn="1" showRowStripes="1"/>
</table>
</file>

<file path=xl/tables/table6.xml><?xml version="1.0" encoding="utf-8"?>
<table xmlns="http://schemas.openxmlformats.org/spreadsheetml/2006/main" headerRowCount="0" ref="A3:J37" displayName="Table_5" name="Table_5" id="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nsumables and Shop Suppl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ryan.k@smokypeak.tech" TargetMode="External"/><Relationship Id="rId2" Type="http://schemas.openxmlformats.org/officeDocument/2006/relationships/hyperlink" Target="mailto:ryan.k@smokypeak.tech" TargetMode="External"/><Relationship Id="rId3" Type="http://schemas.openxmlformats.org/officeDocument/2006/relationships/hyperlink" Target="mailto:ryan.k@smokypeak.tech" TargetMode="External"/><Relationship Id="rId4" Type="http://schemas.openxmlformats.org/officeDocument/2006/relationships/hyperlink" Target="mailto:ryan.k@smokypeak.tech" TargetMode="External"/><Relationship Id="rId11" Type="http://schemas.openxmlformats.org/officeDocument/2006/relationships/drawing" Target="../drawings/drawing1.xml"/><Relationship Id="rId10" Type="http://schemas.openxmlformats.org/officeDocument/2006/relationships/hyperlink" Target="mailto:ryan.k@smokypeak.tech" TargetMode="External"/><Relationship Id="rId13" Type="http://schemas.openxmlformats.org/officeDocument/2006/relationships/table" Target="../tables/table1.xml"/><Relationship Id="rId9" Type="http://schemas.openxmlformats.org/officeDocument/2006/relationships/hyperlink" Target="mailto:ryan.k@smokypeak.tech" TargetMode="External"/><Relationship Id="rId5" Type="http://schemas.openxmlformats.org/officeDocument/2006/relationships/hyperlink" Target="mailto:ryan.k@smokypeak.tech" TargetMode="External"/><Relationship Id="rId6" Type="http://schemas.openxmlformats.org/officeDocument/2006/relationships/hyperlink" Target="mailto:ryan.k@smokypeak.tech" TargetMode="External"/><Relationship Id="rId7" Type="http://schemas.openxmlformats.org/officeDocument/2006/relationships/hyperlink" Target="mailto:ryan.k@smokypeak.tech" TargetMode="External"/><Relationship Id="rId8" Type="http://schemas.openxmlformats.org/officeDocument/2006/relationships/hyperlink" Target="mailto:ryan.k@smokypeak.tec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3" max="3" width="20.38"/>
    <col customWidth="1" min="4" max="4" width="37.63"/>
  </cols>
  <sheetData>
    <row r="1" ht="22.5" customHeight="1">
      <c r="A1" s="1" t="s">
        <v>0</v>
      </c>
      <c r="B1" s="1" t="s">
        <v>1</v>
      </c>
      <c r="C1" s="1" t="s">
        <v>2</v>
      </c>
      <c r="D1" s="1" t="s">
        <v>3</v>
      </c>
    </row>
    <row r="2" ht="22.5" customHeight="1">
      <c r="A2" s="2">
        <v>46157.58259259259</v>
      </c>
      <c r="B2" s="3" t="s">
        <v>4</v>
      </c>
      <c r="C2" s="4" t="s">
        <v>5</v>
      </c>
      <c r="D2" s="3" t="s">
        <v>6</v>
      </c>
    </row>
    <row r="3" ht="22.5" customHeight="1">
      <c r="A3" s="2">
        <v>46157.584756944445</v>
      </c>
      <c r="B3" s="3" t="s">
        <v>7</v>
      </c>
      <c r="C3" s="4" t="s">
        <v>5</v>
      </c>
      <c r="D3" s="3" t="s">
        <v>8</v>
      </c>
    </row>
    <row r="4" ht="22.5" customHeight="1">
      <c r="A4" s="2">
        <v>46157.58484953704</v>
      </c>
      <c r="B4" s="3" t="s">
        <v>9</v>
      </c>
      <c r="C4" s="4" t="s">
        <v>5</v>
      </c>
      <c r="D4" s="3" t="s">
        <v>10</v>
      </c>
    </row>
    <row r="5" ht="22.5" customHeight="1">
      <c r="A5" s="2">
        <v>46157.58491898148</v>
      </c>
      <c r="B5" s="3" t="s">
        <v>11</v>
      </c>
      <c r="C5" s="4" t="s">
        <v>5</v>
      </c>
      <c r="D5" s="3" t="s">
        <v>12</v>
      </c>
    </row>
    <row r="6" ht="22.5" customHeight="1">
      <c r="A6" s="2">
        <v>46157.58820601852</v>
      </c>
      <c r="B6" s="3" t="s">
        <v>13</v>
      </c>
      <c r="C6" s="4" t="s">
        <v>5</v>
      </c>
      <c r="D6" s="3" t="s">
        <v>14</v>
      </c>
    </row>
    <row r="7" ht="22.5" customHeight="1">
      <c r="A7" s="2">
        <v>46157.58835648148</v>
      </c>
      <c r="B7" s="3" t="s">
        <v>15</v>
      </c>
      <c r="C7" s="4" t="s">
        <v>5</v>
      </c>
      <c r="D7" s="3" t="s">
        <v>16</v>
      </c>
    </row>
    <row r="8" ht="22.5" customHeight="1">
      <c r="A8" s="2">
        <v>46157.58840277778</v>
      </c>
      <c r="B8" s="3" t="s">
        <v>17</v>
      </c>
      <c r="C8" s="4" t="s">
        <v>5</v>
      </c>
      <c r="D8" s="3" t="s">
        <v>18</v>
      </c>
    </row>
    <row r="9" ht="22.5" customHeight="1">
      <c r="A9" s="2">
        <v>46157.588483796295</v>
      </c>
      <c r="B9" s="3" t="s">
        <v>19</v>
      </c>
      <c r="C9" s="4" t="s">
        <v>5</v>
      </c>
      <c r="D9" s="3" t="s">
        <v>20</v>
      </c>
    </row>
    <row r="10" ht="22.5" customHeight="1">
      <c r="A10" s="2">
        <v>46157.58859953703</v>
      </c>
      <c r="B10" s="3" t="s">
        <v>21</v>
      </c>
      <c r="C10" s="4" t="s">
        <v>5</v>
      </c>
      <c r="D10" s="3" t="s">
        <v>22</v>
      </c>
    </row>
    <row r="11" ht="22.5" customHeight="1">
      <c r="A11" s="2">
        <v>46157.58868055556</v>
      </c>
      <c r="B11" s="3" t="s">
        <v>23</v>
      </c>
      <c r="C11" s="4" t="s">
        <v>5</v>
      </c>
      <c r="D11" s="3" t="s">
        <v>24</v>
      </c>
    </row>
  </sheetData>
  <dataValidations>
    <dataValidation type="custom" allowBlank="1" showDropDown="1" sqref="A2:A11">
      <formula1>OR(NOT(ISERROR(DATEVALUE(A2))), AND(ISNUMBER(A2), LEFT(CELL("format", A2))="D"))</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51.5"/>
    <col customWidth="1" min="2" max="2" width="20.38"/>
    <col customWidth="1" min="3" max="3" width="13.5"/>
    <col customWidth="1" min="4" max="4" width="15.88"/>
    <col customWidth="1" min="5" max="5" width="16.25"/>
    <col customWidth="1" min="6" max="6" width="14.13"/>
    <col customWidth="1" min="7" max="7" width="10.25"/>
    <col customWidth="1" min="8" max="8" width="12.88"/>
    <col customWidth="1" min="9" max="9" width="17.63"/>
  </cols>
  <sheetData>
    <row r="1">
      <c r="A1" s="5" t="s">
        <v>25</v>
      </c>
    </row>
    <row r="2">
      <c r="A2" s="6" t="s">
        <v>26</v>
      </c>
      <c r="B2" s="7">
        <v>1.85</v>
      </c>
    </row>
    <row r="3">
      <c r="A3" s="6" t="s">
        <v>27</v>
      </c>
      <c r="B3" s="7">
        <v>1.4</v>
      </c>
    </row>
    <row r="4">
      <c r="A4" s="6" t="s">
        <v>28</v>
      </c>
      <c r="B4" s="7">
        <v>1.45</v>
      </c>
    </row>
    <row r="5">
      <c r="A5" s="6" t="s">
        <v>29</v>
      </c>
      <c r="B5" s="7">
        <v>1.75</v>
      </c>
    </row>
    <row r="6">
      <c r="A6" s="6" t="s">
        <v>30</v>
      </c>
      <c r="B6" s="7">
        <v>0.9</v>
      </c>
    </row>
    <row r="8">
      <c r="A8" s="8" t="s">
        <v>31</v>
      </c>
      <c r="B8" s="8" t="s">
        <v>32</v>
      </c>
      <c r="C8" s="8" t="s">
        <v>33</v>
      </c>
      <c r="D8" s="8" t="s">
        <v>34</v>
      </c>
      <c r="E8" s="8" t="s">
        <v>35</v>
      </c>
      <c r="F8" s="8" t="s">
        <v>36</v>
      </c>
      <c r="G8" s="8" t="s">
        <v>37</v>
      </c>
      <c r="H8" s="8" t="s">
        <v>38</v>
      </c>
      <c r="I8" s="8" t="s">
        <v>39</v>
      </c>
    </row>
    <row r="9">
      <c r="A9" s="9" t="s">
        <v>40</v>
      </c>
      <c r="B9" s="9" t="s">
        <v>41</v>
      </c>
      <c r="C9" s="10">
        <v>18.0</v>
      </c>
      <c r="D9" s="11">
        <f t="shared" ref="D9:D12" si="1">C9*$B$2</f>
        <v>33.3</v>
      </c>
      <c r="E9" s="11">
        <f t="shared" ref="E9:E12" si="2">D9*$B$3</f>
        <v>46.62</v>
      </c>
      <c r="F9" s="11">
        <f t="shared" ref="F9:F12" si="3">E9*$B$4</f>
        <v>67.599</v>
      </c>
      <c r="G9" s="11">
        <f t="shared" ref="G9:G12" si="4">E9*$B$5</f>
        <v>81.585</v>
      </c>
      <c r="H9" s="11">
        <f t="shared" ref="H9:H12" si="5">E9*$B$6</f>
        <v>41.958</v>
      </c>
      <c r="I9" s="12">
        <v>0.7</v>
      </c>
    </row>
    <row r="10">
      <c r="A10" s="13" t="s">
        <v>42</v>
      </c>
      <c r="B10" s="13" t="s">
        <v>43</v>
      </c>
      <c r="C10" s="14">
        <v>22.0</v>
      </c>
      <c r="D10" s="15">
        <f t="shared" si="1"/>
        <v>40.7</v>
      </c>
      <c r="E10" s="15">
        <f t="shared" si="2"/>
        <v>56.98</v>
      </c>
      <c r="F10" s="15">
        <f t="shared" si="3"/>
        <v>82.621</v>
      </c>
      <c r="G10" s="15">
        <f t="shared" si="4"/>
        <v>99.715</v>
      </c>
      <c r="H10" s="15">
        <f t="shared" si="5"/>
        <v>51.282</v>
      </c>
      <c r="I10" s="16">
        <v>0.2</v>
      </c>
    </row>
    <row r="11">
      <c r="A11" s="9" t="s">
        <v>44</v>
      </c>
      <c r="B11" s="9" t="s">
        <v>45</v>
      </c>
      <c r="C11" s="10">
        <v>35.0</v>
      </c>
      <c r="D11" s="11">
        <f t="shared" si="1"/>
        <v>64.75</v>
      </c>
      <c r="E11" s="11">
        <f t="shared" si="2"/>
        <v>90.65</v>
      </c>
      <c r="F11" s="11">
        <f t="shared" si="3"/>
        <v>131.4425</v>
      </c>
      <c r="G11" s="11">
        <f t="shared" si="4"/>
        <v>158.6375</v>
      </c>
      <c r="H11" s="11">
        <f t="shared" si="5"/>
        <v>81.585</v>
      </c>
      <c r="I11" s="12">
        <v>0.0</v>
      </c>
    </row>
    <row r="12">
      <c r="A12" s="13" t="s">
        <v>46</v>
      </c>
      <c r="B12" s="13" t="s">
        <v>47</v>
      </c>
      <c r="C12" s="14">
        <v>20.0</v>
      </c>
      <c r="D12" s="15">
        <f t="shared" si="1"/>
        <v>37</v>
      </c>
      <c r="E12" s="15">
        <f t="shared" si="2"/>
        <v>51.8</v>
      </c>
      <c r="F12" s="15">
        <f t="shared" si="3"/>
        <v>75.11</v>
      </c>
      <c r="G12" s="15">
        <f t="shared" si="4"/>
        <v>90.65</v>
      </c>
      <c r="H12" s="15">
        <f t="shared" si="5"/>
        <v>46.62</v>
      </c>
      <c r="I12" s="16">
        <v>0.1</v>
      </c>
    </row>
    <row r="13">
      <c r="A13" s="13" t="s">
        <v>48</v>
      </c>
      <c r="B13" s="17"/>
      <c r="C13" s="18"/>
      <c r="D13" s="18"/>
      <c r="E13" s="18"/>
      <c r="F13" s="18"/>
      <c r="G13" s="18"/>
      <c r="H13" s="19"/>
      <c r="I13" s="20">
        <f>I9+I10+I12</f>
        <v>1</v>
      </c>
    </row>
    <row r="15">
      <c r="A15" s="21" t="s">
        <v>49</v>
      </c>
    </row>
    <row r="16">
      <c r="A16" s="22" t="s">
        <v>50</v>
      </c>
      <c r="B16" s="18"/>
      <c r="C16" s="19"/>
    </row>
    <row r="17">
      <c r="A17" s="22" t="s">
        <v>51</v>
      </c>
      <c r="B17" s="18"/>
      <c r="C17" s="19"/>
    </row>
    <row r="18">
      <c r="A18" s="22" t="s">
        <v>52</v>
      </c>
      <c r="B18" s="18"/>
      <c r="C18" s="19"/>
    </row>
    <row r="19">
      <c r="A19" s="22" t="s">
        <v>53</v>
      </c>
      <c r="B19" s="18"/>
      <c r="C19" s="19"/>
    </row>
    <row r="20">
      <c r="A20" s="22" t="s">
        <v>54</v>
      </c>
      <c r="B20" s="18"/>
      <c r="C20" s="19"/>
    </row>
    <row r="21">
      <c r="A21" s="22" t="s">
        <v>55</v>
      </c>
      <c r="B21" s="18"/>
      <c r="C21" s="19"/>
    </row>
    <row r="22">
      <c r="A22" s="22" t="s">
        <v>56</v>
      </c>
      <c r="B22" s="18"/>
      <c r="C22" s="19"/>
    </row>
  </sheetData>
  <mergeCells count="8">
    <mergeCell ref="B13:H13"/>
    <mergeCell ref="A16:C16"/>
    <mergeCell ref="A17:C17"/>
    <mergeCell ref="A18:C18"/>
    <mergeCell ref="A19:C19"/>
    <mergeCell ref="A20:C20"/>
    <mergeCell ref="A21:C21"/>
    <mergeCell ref="A22:C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5.88"/>
    <col customWidth="1" min="2" max="2" width="16.0"/>
    <col customWidth="1" min="4" max="4" width="17.75"/>
  </cols>
  <sheetData>
    <row r="1">
      <c r="A1" s="23" t="s">
        <v>57</v>
      </c>
      <c r="B1" s="18"/>
      <c r="C1" s="18"/>
      <c r="D1" s="18"/>
      <c r="E1" s="19"/>
      <c r="F1" s="24"/>
    </row>
    <row r="2">
      <c r="A2" s="25" t="s">
        <v>58</v>
      </c>
      <c r="B2" s="25" t="s">
        <v>32</v>
      </c>
      <c r="C2" s="25" t="s">
        <v>59</v>
      </c>
      <c r="D2" s="25" t="s">
        <v>60</v>
      </c>
      <c r="E2" s="25" t="s">
        <v>61</v>
      </c>
      <c r="F2" s="26"/>
    </row>
    <row r="3">
      <c r="A3" s="27" t="s">
        <v>62</v>
      </c>
      <c r="B3" s="27" t="s">
        <v>63</v>
      </c>
      <c r="C3" s="27">
        <v>1.0</v>
      </c>
      <c r="D3" s="27">
        <v>1.0</v>
      </c>
      <c r="E3" s="28">
        <v>125.0</v>
      </c>
      <c r="F3" s="29"/>
    </row>
    <row r="4">
      <c r="A4" s="30" t="s">
        <v>64</v>
      </c>
      <c r="B4" s="30" t="s">
        <v>65</v>
      </c>
      <c r="C4" s="30">
        <v>2.0</v>
      </c>
      <c r="D4" s="30">
        <v>2.0</v>
      </c>
      <c r="E4" s="31">
        <v>150.0</v>
      </c>
      <c r="F4" s="29"/>
    </row>
    <row r="5">
      <c r="A5" s="27" t="s">
        <v>66</v>
      </c>
      <c r="B5" s="27" t="s">
        <v>67</v>
      </c>
      <c r="C5" s="27">
        <v>3.0</v>
      </c>
      <c r="D5" s="27">
        <v>3.0</v>
      </c>
      <c r="E5" s="28">
        <v>175.0</v>
      </c>
      <c r="F5" s="29"/>
    </row>
    <row r="6">
      <c r="A6" s="30" t="s">
        <v>68</v>
      </c>
      <c r="B6" s="30" t="s">
        <v>69</v>
      </c>
      <c r="C6" s="30">
        <v>4.0</v>
      </c>
      <c r="D6" s="30">
        <v>4.0</v>
      </c>
      <c r="E6" s="31">
        <v>210.0</v>
      </c>
      <c r="F6" s="29"/>
    </row>
    <row r="7">
      <c r="A7" s="27" t="s">
        <v>70</v>
      </c>
      <c r="B7" s="27" t="s">
        <v>71</v>
      </c>
      <c r="C7" s="27">
        <v>5.0</v>
      </c>
      <c r="D7" s="27">
        <v>5.0</v>
      </c>
      <c r="E7" s="28">
        <v>250.0</v>
      </c>
      <c r="F7" s="29"/>
    </row>
    <row r="8">
      <c r="A8" s="30" t="s">
        <v>72</v>
      </c>
      <c r="B8" s="30" t="s">
        <v>73</v>
      </c>
      <c r="C8" s="32" t="s">
        <v>74</v>
      </c>
      <c r="D8" s="32" t="s">
        <v>74</v>
      </c>
      <c r="E8" s="33" t="s">
        <v>75</v>
      </c>
      <c r="F8" s="29"/>
    </row>
    <row r="12">
      <c r="D12" s="34"/>
    </row>
  </sheetData>
  <mergeCells count="1">
    <mergeCell ref="A1:E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24.63"/>
    <col customWidth="1" min="2" max="2" width="16.25"/>
    <col customWidth="1" min="3" max="3" width="18.38"/>
    <col customWidth="1" min="4" max="4" width="18.5"/>
    <col customWidth="1" min="5" max="5" width="17.63"/>
  </cols>
  <sheetData>
    <row r="1">
      <c r="A1" s="35" t="s">
        <v>76</v>
      </c>
      <c r="B1" s="18"/>
      <c r="C1" s="18"/>
      <c r="D1" s="18"/>
      <c r="E1" s="19"/>
      <c r="F1" s="26"/>
    </row>
    <row r="2">
      <c r="A2" s="36" t="s">
        <v>58</v>
      </c>
      <c r="B2" s="36" t="s">
        <v>32</v>
      </c>
      <c r="C2" s="36" t="s">
        <v>59</v>
      </c>
      <c r="D2" s="36" t="s">
        <v>60</v>
      </c>
      <c r="E2" s="36" t="s">
        <v>61</v>
      </c>
      <c r="F2" s="26"/>
    </row>
    <row r="3">
      <c r="A3" s="37" t="s">
        <v>62</v>
      </c>
      <c r="B3" s="37" t="s">
        <v>77</v>
      </c>
      <c r="C3" s="37">
        <v>1.0</v>
      </c>
      <c r="D3" s="37">
        <v>1.0</v>
      </c>
      <c r="E3" s="38">
        <v>95.0</v>
      </c>
    </row>
    <row r="4">
      <c r="A4" s="30" t="s">
        <v>64</v>
      </c>
      <c r="B4" s="30" t="s">
        <v>78</v>
      </c>
      <c r="C4" s="30">
        <v>2.0</v>
      </c>
      <c r="D4" s="30">
        <v>2.0</v>
      </c>
      <c r="E4" s="31">
        <v>110.0</v>
      </c>
    </row>
    <row r="5">
      <c r="A5" s="30" t="s">
        <v>66</v>
      </c>
      <c r="B5" s="30" t="s">
        <v>79</v>
      </c>
      <c r="C5" s="30">
        <v>3.0</v>
      </c>
      <c r="D5" s="30">
        <v>3.0</v>
      </c>
      <c r="E5" s="31">
        <v>125.0</v>
      </c>
    </row>
    <row r="6">
      <c r="A6" s="30" t="s">
        <v>68</v>
      </c>
      <c r="B6" s="30" t="s">
        <v>80</v>
      </c>
      <c r="C6" s="30">
        <v>4.0</v>
      </c>
      <c r="D6" s="30">
        <v>4.0</v>
      </c>
      <c r="E6" s="31">
        <v>150.0</v>
      </c>
    </row>
    <row r="7">
      <c r="A7" s="30" t="s">
        <v>70</v>
      </c>
      <c r="B7" s="30" t="s">
        <v>81</v>
      </c>
      <c r="C7" s="30">
        <v>5.0</v>
      </c>
      <c r="D7" s="30">
        <v>5.0</v>
      </c>
      <c r="E7" s="31">
        <v>175.0</v>
      </c>
    </row>
    <row r="8">
      <c r="A8" s="30" t="s">
        <v>72</v>
      </c>
      <c r="B8" s="30" t="s">
        <v>82</v>
      </c>
      <c r="C8" s="32" t="s">
        <v>74</v>
      </c>
      <c r="D8" s="32" t="s">
        <v>74</v>
      </c>
      <c r="E8" s="33" t="s">
        <v>75</v>
      </c>
    </row>
    <row r="23">
      <c r="D23" s="29"/>
    </row>
  </sheetData>
  <mergeCells count="1">
    <mergeCell ref="A1:E1"/>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4.63"/>
    <col customWidth="1" min="2" max="2" width="16.13"/>
    <col customWidth="1" min="4" max="4" width="17.0"/>
  </cols>
  <sheetData>
    <row r="1">
      <c r="A1" s="39" t="s">
        <v>83</v>
      </c>
      <c r="B1" s="18"/>
      <c r="C1" s="18"/>
      <c r="D1" s="18"/>
      <c r="E1" s="19"/>
    </row>
    <row r="2">
      <c r="A2" s="40" t="s">
        <v>58</v>
      </c>
      <c r="B2" s="40" t="s">
        <v>32</v>
      </c>
      <c r="C2" s="40" t="s">
        <v>59</v>
      </c>
      <c r="D2" s="40" t="s">
        <v>60</v>
      </c>
      <c r="E2" s="40" t="s">
        <v>61</v>
      </c>
    </row>
    <row r="3">
      <c r="A3" s="30" t="s">
        <v>62</v>
      </c>
      <c r="B3" s="30" t="s">
        <v>84</v>
      </c>
      <c r="C3" s="30">
        <v>1.0</v>
      </c>
      <c r="D3" s="30">
        <v>1.0</v>
      </c>
      <c r="E3" s="31">
        <v>185.0</v>
      </c>
    </row>
    <row r="4">
      <c r="A4" s="30" t="s">
        <v>64</v>
      </c>
      <c r="B4" s="30" t="s">
        <v>85</v>
      </c>
      <c r="C4" s="30">
        <v>2.0</v>
      </c>
      <c r="D4" s="30">
        <v>2.0</v>
      </c>
      <c r="E4" s="31">
        <v>215.0</v>
      </c>
    </row>
    <row r="5">
      <c r="A5" s="30" t="s">
        <v>66</v>
      </c>
      <c r="B5" s="30" t="s">
        <v>86</v>
      </c>
      <c r="C5" s="30">
        <v>3.0</v>
      </c>
      <c r="D5" s="30">
        <v>3.0</v>
      </c>
      <c r="E5" s="31">
        <v>250.0</v>
      </c>
    </row>
    <row r="6">
      <c r="A6" s="30" t="s">
        <v>68</v>
      </c>
      <c r="B6" s="30" t="s">
        <v>87</v>
      </c>
      <c r="C6" s="30">
        <v>4.0</v>
      </c>
      <c r="D6" s="30">
        <v>4.0</v>
      </c>
      <c r="E6" s="31">
        <v>295.0</v>
      </c>
    </row>
    <row r="7">
      <c r="A7" s="30" t="s">
        <v>70</v>
      </c>
      <c r="B7" s="30" t="s">
        <v>88</v>
      </c>
      <c r="C7" s="30">
        <v>5.0</v>
      </c>
      <c r="D7" s="30">
        <v>5.0</v>
      </c>
      <c r="E7" s="31">
        <v>345.0</v>
      </c>
    </row>
    <row r="8">
      <c r="A8" s="30" t="s">
        <v>72</v>
      </c>
      <c r="B8" s="30" t="s">
        <v>89</v>
      </c>
      <c r="C8" s="32" t="s">
        <v>74</v>
      </c>
      <c r="D8" s="32" t="s">
        <v>74</v>
      </c>
      <c r="E8" s="33" t="s">
        <v>75</v>
      </c>
    </row>
  </sheetData>
  <mergeCells count="1">
    <mergeCell ref="A1:E1"/>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0.25"/>
    <col customWidth="1" min="2" max="2" width="16.13"/>
    <col customWidth="1" min="3" max="3" width="14.5"/>
    <col customWidth="1" min="4" max="4" width="16.25"/>
    <col customWidth="1" min="5" max="5" width="15.13"/>
    <col customWidth="1" min="6" max="6" width="62.63"/>
  </cols>
  <sheetData>
    <row r="1">
      <c r="A1" s="41" t="s">
        <v>90</v>
      </c>
      <c r="B1" s="18"/>
      <c r="C1" s="18"/>
      <c r="D1" s="18"/>
      <c r="E1" s="18"/>
      <c r="F1" s="19"/>
    </row>
    <row r="2">
      <c r="A2" s="42" t="s">
        <v>91</v>
      </c>
      <c r="B2" s="42" t="s">
        <v>92</v>
      </c>
      <c r="C2" s="42" t="s">
        <v>93</v>
      </c>
      <c r="D2" s="42" t="s">
        <v>94</v>
      </c>
      <c r="E2" s="42" t="s">
        <v>95</v>
      </c>
      <c r="F2" s="42" t="s">
        <v>96</v>
      </c>
    </row>
    <row r="3">
      <c r="A3" s="30" t="s">
        <v>97</v>
      </c>
      <c r="B3" s="30" t="s">
        <v>98</v>
      </c>
      <c r="C3" s="30" t="s">
        <v>99</v>
      </c>
      <c r="D3" s="30" t="s">
        <v>100</v>
      </c>
      <c r="E3" s="43">
        <v>8.0</v>
      </c>
      <c r="F3" s="44" t="s">
        <v>101</v>
      </c>
    </row>
    <row r="4">
      <c r="A4" s="30" t="s">
        <v>102</v>
      </c>
      <c r="B4" s="30" t="s">
        <v>98</v>
      </c>
      <c r="C4" s="30" t="s">
        <v>99</v>
      </c>
      <c r="D4" s="30" t="s">
        <v>100</v>
      </c>
      <c r="E4" s="43">
        <v>12.0</v>
      </c>
      <c r="F4" s="44" t="s">
        <v>103</v>
      </c>
    </row>
    <row r="5">
      <c r="A5" s="30" t="s">
        <v>104</v>
      </c>
      <c r="B5" s="30" t="s">
        <v>98</v>
      </c>
      <c r="C5" s="30" t="s">
        <v>99</v>
      </c>
      <c r="D5" s="30" t="s">
        <v>100</v>
      </c>
      <c r="E5" s="43">
        <v>12.0</v>
      </c>
      <c r="F5" s="44" t="s">
        <v>105</v>
      </c>
    </row>
    <row r="6">
      <c r="A6" s="30" t="s">
        <v>106</v>
      </c>
      <c r="B6" s="30" t="s">
        <v>98</v>
      </c>
      <c r="C6" s="30" t="s">
        <v>99</v>
      </c>
      <c r="D6" s="30" t="s">
        <v>100</v>
      </c>
      <c r="E6" s="43">
        <v>10.0</v>
      </c>
      <c r="F6" s="44" t="s">
        <v>107</v>
      </c>
    </row>
    <row r="7">
      <c r="A7" s="30" t="s">
        <v>108</v>
      </c>
      <c r="B7" s="30" t="s">
        <v>109</v>
      </c>
      <c r="C7" s="30" t="s">
        <v>110</v>
      </c>
      <c r="D7" s="30" t="s">
        <v>100</v>
      </c>
      <c r="E7" s="45">
        <v>0.025</v>
      </c>
      <c r="F7" s="44" t="s">
        <v>111</v>
      </c>
    </row>
    <row r="8">
      <c r="A8" s="30" t="s">
        <v>112</v>
      </c>
      <c r="B8" s="30" t="s">
        <v>98</v>
      </c>
      <c r="C8" s="30" t="s">
        <v>110</v>
      </c>
      <c r="D8" s="30" t="s">
        <v>100</v>
      </c>
      <c r="E8" s="45">
        <v>0.04</v>
      </c>
      <c r="F8" s="44" t="s">
        <v>113</v>
      </c>
    </row>
    <row r="9">
      <c r="A9" s="30" t="s">
        <v>114</v>
      </c>
      <c r="B9" s="30" t="s">
        <v>98</v>
      </c>
      <c r="C9" s="30" t="s">
        <v>110</v>
      </c>
      <c r="D9" s="30" t="s">
        <v>100</v>
      </c>
      <c r="E9" s="45">
        <v>0.025</v>
      </c>
      <c r="F9" s="44" t="s">
        <v>115</v>
      </c>
    </row>
    <row r="10">
      <c r="A10" s="30" t="s">
        <v>116</v>
      </c>
      <c r="B10" s="30" t="s">
        <v>117</v>
      </c>
      <c r="C10" s="30" t="s">
        <v>110</v>
      </c>
      <c r="D10" s="30" t="s">
        <v>100</v>
      </c>
      <c r="E10" s="45">
        <v>0.04</v>
      </c>
      <c r="F10" s="44" t="s">
        <v>118</v>
      </c>
    </row>
    <row r="11">
      <c r="A11" s="30" t="s">
        <v>119</v>
      </c>
      <c r="B11" s="30" t="s">
        <v>120</v>
      </c>
      <c r="C11" s="30" t="s">
        <v>110</v>
      </c>
      <c r="D11" s="30" t="s">
        <v>100</v>
      </c>
      <c r="E11" s="45">
        <v>0.08</v>
      </c>
      <c r="F11" s="44" t="s">
        <v>121</v>
      </c>
    </row>
    <row r="12">
      <c r="A12" s="30" t="s">
        <v>122</v>
      </c>
      <c r="B12" s="30" t="s">
        <v>98</v>
      </c>
      <c r="C12" s="30" t="s">
        <v>99</v>
      </c>
      <c r="D12" s="30" t="s">
        <v>100</v>
      </c>
      <c r="E12" s="43">
        <v>18.0</v>
      </c>
      <c r="F12" s="44" t="s">
        <v>123</v>
      </c>
    </row>
    <row r="13">
      <c r="A13" s="30" t="s">
        <v>124</v>
      </c>
      <c r="B13" s="30" t="s">
        <v>98</v>
      </c>
      <c r="C13" s="30" t="s">
        <v>99</v>
      </c>
      <c r="D13" s="30" t="s">
        <v>100</v>
      </c>
      <c r="E13" s="43">
        <v>75.0</v>
      </c>
      <c r="F13" s="44" t="s">
        <v>125</v>
      </c>
    </row>
    <row r="14">
      <c r="A14" s="30" t="s">
        <v>126</v>
      </c>
      <c r="B14" s="30" t="s">
        <v>127</v>
      </c>
      <c r="C14" s="30" t="s">
        <v>99</v>
      </c>
      <c r="D14" s="30" t="s">
        <v>100</v>
      </c>
      <c r="E14" s="43">
        <v>8.0</v>
      </c>
      <c r="F14" s="44" t="s">
        <v>128</v>
      </c>
    </row>
    <row r="15">
      <c r="A15" s="30" t="s">
        <v>129</v>
      </c>
      <c r="B15" s="30" t="s">
        <v>127</v>
      </c>
      <c r="C15" s="30" t="s">
        <v>99</v>
      </c>
      <c r="D15" s="30" t="s">
        <v>100</v>
      </c>
      <c r="E15" s="43">
        <v>12.0</v>
      </c>
      <c r="F15" s="44" t="s">
        <v>130</v>
      </c>
    </row>
    <row r="16">
      <c r="A16" s="30" t="s">
        <v>131</v>
      </c>
      <c r="B16" s="30" t="s">
        <v>98</v>
      </c>
      <c r="C16" s="30" t="s">
        <v>99</v>
      </c>
      <c r="D16" s="30" t="s">
        <v>100</v>
      </c>
      <c r="E16" s="43">
        <v>8.0</v>
      </c>
      <c r="F16" s="44" t="s">
        <v>132</v>
      </c>
    </row>
    <row r="17">
      <c r="A17" s="30" t="s">
        <v>133</v>
      </c>
      <c r="B17" s="30" t="s">
        <v>98</v>
      </c>
      <c r="C17" s="30" t="s">
        <v>99</v>
      </c>
      <c r="D17" s="30" t="s">
        <v>100</v>
      </c>
      <c r="E17" s="43">
        <v>15.0</v>
      </c>
      <c r="F17" s="44" t="s">
        <v>134</v>
      </c>
    </row>
    <row r="18">
      <c r="A18" s="30" t="s">
        <v>135</v>
      </c>
      <c r="B18" s="30" t="s">
        <v>98</v>
      </c>
      <c r="C18" s="30" t="s">
        <v>99</v>
      </c>
      <c r="D18" s="30" t="s">
        <v>100</v>
      </c>
      <c r="E18" s="43">
        <v>10.0</v>
      </c>
      <c r="F18" s="44" t="s">
        <v>136</v>
      </c>
    </row>
    <row r="19">
      <c r="A19" s="30" t="s">
        <v>137</v>
      </c>
      <c r="B19" s="30" t="s">
        <v>98</v>
      </c>
      <c r="C19" s="30" t="s">
        <v>99</v>
      </c>
      <c r="D19" s="30" t="s">
        <v>100</v>
      </c>
      <c r="E19" s="43">
        <v>8.0</v>
      </c>
      <c r="F19" s="44" t="s">
        <v>138</v>
      </c>
    </row>
    <row r="20">
      <c r="A20" s="30" t="s">
        <v>139</v>
      </c>
      <c r="B20" s="30" t="s">
        <v>98</v>
      </c>
      <c r="C20" s="30" t="s">
        <v>99</v>
      </c>
      <c r="D20" s="30" t="s">
        <v>100</v>
      </c>
      <c r="E20" s="43">
        <v>8.0</v>
      </c>
      <c r="F20" s="44" t="s">
        <v>140</v>
      </c>
    </row>
    <row r="21">
      <c r="A21" s="30" t="s">
        <v>141</v>
      </c>
      <c r="B21" s="30" t="s">
        <v>109</v>
      </c>
      <c r="C21" s="30" t="s">
        <v>110</v>
      </c>
      <c r="D21" s="30" t="s">
        <v>100</v>
      </c>
      <c r="E21" s="45">
        <v>0.05</v>
      </c>
      <c r="F21" s="44" t="s">
        <v>142</v>
      </c>
    </row>
    <row r="22">
      <c r="A22" s="30" t="s">
        <v>143</v>
      </c>
      <c r="B22" s="30" t="s">
        <v>144</v>
      </c>
      <c r="C22" s="30" t="s">
        <v>110</v>
      </c>
      <c r="D22" s="30" t="s">
        <v>100</v>
      </c>
      <c r="E22" s="45">
        <v>0.085</v>
      </c>
      <c r="F22" s="44" t="s">
        <v>145</v>
      </c>
    </row>
  </sheetData>
  <mergeCells count="1">
    <mergeCell ref="A1:F1"/>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43.88"/>
    <col customWidth="1" min="2" max="2" width="15.88"/>
    <col customWidth="1" min="4" max="4" width="23.38"/>
    <col customWidth="1" min="5" max="6" width="13.5"/>
  </cols>
  <sheetData>
    <row r="1">
      <c r="A1" s="46" t="s">
        <v>146</v>
      </c>
      <c r="B1" s="18"/>
      <c r="C1" s="18"/>
      <c r="D1" s="18"/>
      <c r="E1" s="18"/>
      <c r="F1" s="18"/>
      <c r="G1" s="18"/>
      <c r="H1" s="18"/>
      <c r="I1" s="18"/>
      <c r="J1" s="19"/>
    </row>
    <row r="2">
      <c r="A2" s="47" t="s">
        <v>147</v>
      </c>
      <c r="B2" s="48" t="s">
        <v>148</v>
      </c>
      <c r="C2" s="48" t="s">
        <v>149</v>
      </c>
      <c r="D2" s="48" t="s">
        <v>32</v>
      </c>
      <c r="E2" s="48" t="s">
        <v>150</v>
      </c>
      <c r="F2" s="48" t="s">
        <v>151</v>
      </c>
      <c r="G2" s="48" t="s">
        <v>152</v>
      </c>
      <c r="H2" s="48" t="s">
        <v>153</v>
      </c>
      <c r="I2" s="48" t="s">
        <v>154</v>
      </c>
      <c r="J2" s="48" t="s">
        <v>155</v>
      </c>
    </row>
    <row r="3">
      <c r="A3" s="44" t="s">
        <v>156</v>
      </c>
      <c r="B3" s="30" t="s">
        <v>157</v>
      </c>
      <c r="C3" s="49">
        <v>789344.0</v>
      </c>
      <c r="D3" s="30" t="s">
        <v>158</v>
      </c>
      <c r="E3" s="50">
        <v>0.025</v>
      </c>
      <c r="F3" s="30" t="s">
        <v>159</v>
      </c>
      <c r="G3" s="31">
        <v>0.06</v>
      </c>
      <c r="H3" s="51">
        <f t="shared" ref="H3:H25" si="1">G3*1.3</f>
        <v>0.078</v>
      </c>
      <c r="I3" s="30">
        <v>0.025</v>
      </c>
      <c r="J3" s="31">
        <f>'Hourly Labor Rates'!$E$9</f>
        <v>46.62</v>
      </c>
    </row>
    <row r="4">
      <c r="A4" s="44" t="s">
        <v>160</v>
      </c>
      <c r="B4" s="30" t="s">
        <v>161</v>
      </c>
      <c r="C4" s="30" t="s">
        <v>162</v>
      </c>
      <c r="D4" s="30" t="s">
        <v>163</v>
      </c>
      <c r="E4" s="50">
        <v>0.0</v>
      </c>
      <c r="F4" s="30" t="s">
        <v>164</v>
      </c>
      <c r="G4" s="31">
        <v>0.84</v>
      </c>
      <c r="H4" s="51">
        <f t="shared" si="1"/>
        <v>1.092</v>
      </c>
      <c r="I4" s="30">
        <v>0.025</v>
      </c>
      <c r="J4" s="31">
        <f>'Hourly Labor Rates'!$E$9</f>
        <v>46.62</v>
      </c>
    </row>
    <row r="5">
      <c r="A5" s="44" t="s">
        <v>165</v>
      </c>
      <c r="B5" s="30" t="s">
        <v>161</v>
      </c>
      <c r="C5" s="30" t="s">
        <v>166</v>
      </c>
      <c r="D5" s="30" t="s">
        <v>167</v>
      </c>
      <c r="E5" s="50">
        <v>0.0</v>
      </c>
      <c r="F5" s="30" t="s">
        <v>164</v>
      </c>
      <c r="G5" s="31">
        <v>0.72</v>
      </c>
      <c r="H5" s="51">
        <f t="shared" si="1"/>
        <v>0.936</v>
      </c>
      <c r="I5" s="30">
        <v>0.025</v>
      </c>
      <c r="J5" s="31">
        <f>'Hourly Labor Rates'!$E$9</f>
        <v>46.62</v>
      </c>
    </row>
    <row r="6">
      <c r="A6" s="44" t="s">
        <v>168</v>
      </c>
      <c r="B6" s="30" t="s">
        <v>161</v>
      </c>
      <c r="C6" s="30" t="s">
        <v>169</v>
      </c>
      <c r="D6" s="30" t="s">
        <v>170</v>
      </c>
      <c r="E6" s="50">
        <v>0.0</v>
      </c>
      <c r="F6" s="30" t="s">
        <v>164</v>
      </c>
      <c r="G6" s="31">
        <v>2.58</v>
      </c>
      <c r="H6" s="51">
        <f t="shared" si="1"/>
        <v>3.354</v>
      </c>
      <c r="I6" s="30">
        <v>0.033</v>
      </c>
      <c r="J6" s="31">
        <f>'Hourly Labor Rates'!$E$9</f>
        <v>46.62</v>
      </c>
    </row>
    <row r="7">
      <c r="A7" s="44" t="s">
        <v>171</v>
      </c>
      <c r="B7" s="30" t="s">
        <v>172</v>
      </c>
      <c r="C7" s="30" t="s">
        <v>173</v>
      </c>
      <c r="D7" s="30" t="s">
        <v>174</v>
      </c>
      <c r="E7" s="50">
        <v>0.0</v>
      </c>
      <c r="F7" s="30" t="s">
        <v>164</v>
      </c>
      <c r="G7" s="31">
        <v>1.66</v>
      </c>
      <c r="H7" s="51">
        <f t="shared" si="1"/>
        <v>2.158</v>
      </c>
      <c r="I7" s="30">
        <v>0.025</v>
      </c>
      <c r="J7" s="31">
        <f>'Hourly Labor Rates'!$E$9</f>
        <v>46.62</v>
      </c>
    </row>
    <row r="8">
      <c r="A8" s="44" t="s">
        <v>175</v>
      </c>
      <c r="B8" s="30" t="s">
        <v>176</v>
      </c>
      <c r="C8" s="30" t="s">
        <v>177</v>
      </c>
      <c r="D8" s="30" t="s">
        <v>178</v>
      </c>
      <c r="E8" s="52">
        <v>0.0</v>
      </c>
      <c r="F8" s="44" t="s">
        <v>164</v>
      </c>
      <c r="G8" s="31">
        <v>0.44</v>
      </c>
      <c r="H8" s="51">
        <f t="shared" si="1"/>
        <v>0.572</v>
      </c>
      <c r="I8" s="30">
        <v>0.025</v>
      </c>
      <c r="J8" s="31">
        <f>'Hourly Labor Rates'!$E$9</f>
        <v>46.62</v>
      </c>
    </row>
    <row r="9">
      <c r="A9" s="44" t="s">
        <v>179</v>
      </c>
      <c r="B9" s="30" t="s">
        <v>161</v>
      </c>
      <c r="C9" s="30" t="s">
        <v>180</v>
      </c>
      <c r="D9" s="30" t="s">
        <v>181</v>
      </c>
      <c r="E9" s="50">
        <v>0.05</v>
      </c>
      <c r="F9" s="30" t="s">
        <v>164</v>
      </c>
      <c r="G9" s="31">
        <v>1.61</v>
      </c>
      <c r="H9" s="51">
        <f t="shared" si="1"/>
        <v>2.093</v>
      </c>
      <c r="I9" s="30">
        <v>0.025</v>
      </c>
      <c r="J9" s="31">
        <f>'Hourly Labor Rates'!$E$9</f>
        <v>46.62</v>
      </c>
    </row>
    <row r="10">
      <c r="A10" s="44" t="s">
        <v>182</v>
      </c>
      <c r="B10" s="30" t="s">
        <v>161</v>
      </c>
      <c r="C10" s="30" t="s">
        <v>183</v>
      </c>
      <c r="D10" s="30" t="s">
        <v>184</v>
      </c>
      <c r="E10" s="50">
        <v>0.05</v>
      </c>
      <c r="F10" s="30" t="s">
        <v>164</v>
      </c>
      <c r="G10" s="31">
        <v>1.75</v>
      </c>
      <c r="H10" s="51">
        <f t="shared" si="1"/>
        <v>2.275</v>
      </c>
      <c r="I10" s="30">
        <v>0.025</v>
      </c>
      <c r="J10" s="31">
        <f>'Hourly Labor Rates'!$E$9</f>
        <v>46.62</v>
      </c>
    </row>
    <row r="11">
      <c r="A11" s="44" t="s">
        <v>185</v>
      </c>
      <c r="B11" s="30" t="s">
        <v>172</v>
      </c>
      <c r="C11" s="30" t="s">
        <v>186</v>
      </c>
      <c r="D11" s="30" t="s">
        <v>187</v>
      </c>
      <c r="E11" s="50">
        <v>0.0</v>
      </c>
      <c r="F11" s="30" t="s">
        <v>164</v>
      </c>
      <c r="G11" s="31">
        <v>1.07</v>
      </c>
      <c r="H11" s="51">
        <f t="shared" si="1"/>
        <v>1.391</v>
      </c>
      <c r="I11" s="30">
        <v>0.025</v>
      </c>
      <c r="J11" s="31">
        <f>'Hourly Labor Rates'!$E$9</f>
        <v>46.62</v>
      </c>
    </row>
    <row r="12">
      <c r="A12" s="44" t="s">
        <v>188</v>
      </c>
      <c r="B12" s="30" t="s">
        <v>172</v>
      </c>
      <c r="C12" s="30" t="s">
        <v>189</v>
      </c>
      <c r="D12" s="30" t="s">
        <v>190</v>
      </c>
      <c r="E12" s="50">
        <v>0.0</v>
      </c>
      <c r="F12" s="30" t="s">
        <v>164</v>
      </c>
      <c r="G12" s="31">
        <v>0.6</v>
      </c>
      <c r="H12" s="51">
        <f t="shared" si="1"/>
        <v>0.78</v>
      </c>
      <c r="I12" s="30">
        <v>0.025</v>
      </c>
      <c r="J12" s="31">
        <f>'Hourly Labor Rates'!$E$9</f>
        <v>46.62</v>
      </c>
    </row>
    <row r="13">
      <c r="A13" s="44" t="s">
        <v>191</v>
      </c>
      <c r="B13" s="30" t="s">
        <v>172</v>
      </c>
      <c r="C13" s="30" t="s">
        <v>192</v>
      </c>
      <c r="D13" s="30" t="s">
        <v>193</v>
      </c>
      <c r="E13" s="50">
        <v>0.0</v>
      </c>
      <c r="F13" s="30" t="s">
        <v>164</v>
      </c>
      <c r="G13" s="31">
        <v>3.74</v>
      </c>
      <c r="H13" s="51">
        <f t="shared" si="1"/>
        <v>4.862</v>
      </c>
      <c r="I13" s="30">
        <v>0.025</v>
      </c>
      <c r="J13" s="31">
        <f>'Hourly Labor Rates'!$E$9</f>
        <v>46.62</v>
      </c>
    </row>
    <row r="14">
      <c r="A14" s="44" t="s">
        <v>194</v>
      </c>
      <c r="B14" s="30" t="s">
        <v>172</v>
      </c>
      <c r="C14" s="30" t="s">
        <v>195</v>
      </c>
      <c r="D14" s="30" t="s">
        <v>196</v>
      </c>
      <c r="E14" s="50">
        <v>0.0</v>
      </c>
      <c r="F14" s="30" t="s">
        <v>164</v>
      </c>
      <c r="G14" s="31">
        <v>4.09</v>
      </c>
      <c r="H14" s="51">
        <f t="shared" si="1"/>
        <v>5.317</v>
      </c>
      <c r="I14" s="30">
        <v>0.025</v>
      </c>
      <c r="J14" s="31">
        <f>'Hourly Labor Rates'!$E$9</f>
        <v>46.62</v>
      </c>
    </row>
    <row r="15">
      <c r="A15" s="44" t="s">
        <v>197</v>
      </c>
      <c r="B15" s="30" t="s">
        <v>172</v>
      </c>
      <c r="C15" s="30" t="s">
        <v>198</v>
      </c>
      <c r="D15" s="30" t="s">
        <v>199</v>
      </c>
      <c r="E15" s="50">
        <v>0.0</v>
      </c>
      <c r="F15" s="30" t="s">
        <v>164</v>
      </c>
      <c r="G15" s="31">
        <v>5.95</v>
      </c>
      <c r="H15" s="51">
        <f t="shared" si="1"/>
        <v>7.735</v>
      </c>
      <c r="I15" s="30">
        <v>0.025</v>
      </c>
      <c r="J15" s="31">
        <f>'Hourly Labor Rates'!$E$9</f>
        <v>46.62</v>
      </c>
    </row>
    <row r="16">
      <c r="A16" s="44" t="s">
        <v>200</v>
      </c>
      <c r="B16" s="30" t="s">
        <v>172</v>
      </c>
      <c r="C16" s="30" t="s">
        <v>201</v>
      </c>
      <c r="D16" s="30" t="s">
        <v>202</v>
      </c>
      <c r="E16" s="50">
        <v>0.0</v>
      </c>
      <c r="F16" s="30" t="s">
        <v>164</v>
      </c>
      <c r="G16" s="31">
        <v>0.96</v>
      </c>
      <c r="H16" s="51">
        <f t="shared" si="1"/>
        <v>1.248</v>
      </c>
      <c r="I16" s="30">
        <v>0.05</v>
      </c>
      <c r="J16" s="31">
        <f>'Hourly Labor Rates'!$E$9</f>
        <v>46.62</v>
      </c>
    </row>
    <row r="17">
      <c r="A17" s="44" t="s">
        <v>203</v>
      </c>
      <c r="B17" s="30" t="s">
        <v>172</v>
      </c>
      <c r="C17" s="30" t="s">
        <v>204</v>
      </c>
      <c r="D17" s="30" t="s">
        <v>205</v>
      </c>
      <c r="E17" s="50">
        <v>0.0</v>
      </c>
      <c r="F17" s="30" t="s">
        <v>164</v>
      </c>
      <c r="G17" s="31">
        <v>0.96</v>
      </c>
      <c r="H17" s="51">
        <f t="shared" si="1"/>
        <v>1.248</v>
      </c>
      <c r="I17" s="30">
        <v>0.05</v>
      </c>
      <c r="J17" s="31">
        <f>'Hourly Labor Rates'!$E$9</f>
        <v>46.62</v>
      </c>
    </row>
    <row r="18">
      <c r="A18" s="44" t="s">
        <v>206</v>
      </c>
      <c r="B18" s="30" t="s">
        <v>172</v>
      </c>
      <c r="C18" s="30" t="s">
        <v>207</v>
      </c>
      <c r="D18" s="30" t="s">
        <v>208</v>
      </c>
      <c r="E18" s="50">
        <v>0.0</v>
      </c>
      <c r="F18" s="30" t="s">
        <v>164</v>
      </c>
      <c r="G18" s="31">
        <v>0.96</v>
      </c>
      <c r="H18" s="51">
        <f t="shared" si="1"/>
        <v>1.248</v>
      </c>
      <c r="I18" s="30">
        <v>0.05</v>
      </c>
      <c r="J18" s="31">
        <f>'Hourly Labor Rates'!$E$9</f>
        <v>46.62</v>
      </c>
    </row>
    <row r="19">
      <c r="A19" s="44" t="s">
        <v>209</v>
      </c>
      <c r="B19" s="30" t="s">
        <v>172</v>
      </c>
      <c r="C19" s="30" t="s">
        <v>210</v>
      </c>
      <c r="D19" s="30" t="s">
        <v>211</v>
      </c>
      <c r="E19" s="50">
        <v>0.0</v>
      </c>
      <c r="F19" s="30" t="s">
        <v>164</v>
      </c>
      <c r="G19" s="31">
        <v>1.62</v>
      </c>
      <c r="H19" s="51">
        <f t="shared" si="1"/>
        <v>2.106</v>
      </c>
      <c r="I19" s="30">
        <v>0.05</v>
      </c>
      <c r="J19" s="31">
        <f>'Hourly Labor Rates'!$E$9</f>
        <v>46.62</v>
      </c>
    </row>
    <row r="20">
      <c r="A20" s="44" t="s">
        <v>212</v>
      </c>
      <c r="B20" s="30" t="s">
        <v>172</v>
      </c>
      <c r="C20" s="30" t="s">
        <v>213</v>
      </c>
      <c r="D20" s="30" t="s">
        <v>214</v>
      </c>
      <c r="E20" s="50">
        <v>0.0</v>
      </c>
      <c r="F20" s="30" t="s">
        <v>164</v>
      </c>
      <c r="G20" s="31">
        <v>1.62</v>
      </c>
      <c r="H20" s="51">
        <f t="shared" si="1"/>
        <v>2.106</v>
      </c>
      <c r="I20" s="30">
        <v>0.05</v>
      </c>
      <c r="J20" s="31">
        <f>'Hourly Labor Rates'!$E$9</f>
        <v>46.62</v>
      </c>
    </row>
    <row r="21">
      <c r="A21" s="44" t="s">
        <v>215</v>
      </c>
      <c r="B21" s="30" t="s">
        <v>216</v>
      </c>
      <c r="C21" s="49">
        <v>40207.0</v>
      </c>
      <c r="D21" s="30" t="s">
        <v>217</v>
      </c>
      <c r="E21" s="50">
        <v>0.0</v>
      </c>
      <c r="F21" s="30" t="s">
        <v>164</v>
      </c>
      <c r="G21" s="31">
        <v>2.06</v>
      </c>
      <c r="H21" s="51">
        <f t="shared" si="1"/>
        <v>2.678</v>
      </c>
      <c r="I21" s="30">
        <v>0.05</v>
      </c>
      <c r="J21" s="31">
        <f>'Hourly Labor Rates'!$E$9</f>
        <v>46.62</v>
      </c>
    </row>
    <row r="22">
      <c r="A22" s="44" t="s">
        <v>218</v>
      </c>
      <c r="B22" s="30" t="s">
        <v>176</v>
      </c>
      <c r="C22" s="49">
        <v>570762.0</v>
      </c>
      <c r="D22" s="30" t="s">
        <v>219</v>
      </c>
      <c r="E22" s="50">
        <v>0.0</v>
      </c>
      <c r="F22" s="30" t="s">
        <v>164</v>
      </c>
      <c r="G22" s="31">
        <v>3.89</v>
      </c>
      <c r="H22" s="51">
        <f t="shared" si="1"/>
        <v>5.057</v>
      </c>
      <c r="I22" s="30">
        <v>0.05</v>
      </c>
      <c r="J22" s="31">
        <f>'Hourly Labor Rates'!$E$9</f>
        <v>46.62</v>
      </c>
    </row>
    <row r="23">
      <c r="A23" s="44" t="s">
        <v>220</v>
      </c>
      <c r="B23" s="30" t="s">
        <v>176</v>
      </c>
      <c r="C23" s="49">
        <v>576496.0</v>
      </c>
      <c r="D23" s="30" t="s">
        <v>221</v>
      </c>
      <c r="E23" s="50">
        <v>0.0</v>
      </c>
      <c r="F23" s="30" t="s">
        <v>164</v>
      </c>
      <c r="G23" s="31">
        <v>5.95</v>
      </c>
      <c r="H23" s="51">
        <f t="shared" si="1"/>
        <v>7.735</v>
      </c>
      <c r="I23" s="30">
        <v>0.05</v>
      </c>
      <c r="J23" s="31">
        <f>'Hourly Labor Rates'!$E$9</f>
        <v>46.62</v>
      </c>
    </row>
    <row r="24">
      <c r="A24" s="44" t="s">
        <v>222</v>
      </c>
      <c r="B24" s="30" t="s">
        <v>223</v>
      </c>
      <c r="C24" s="49">
        <v>576488.0</v>
      </c>
      <c r="D24" s="30" t="s">
        <v>224</v>
      </c>
      <c r="E24" s="50">
        <v>0.0</v>
      </c>
      <c r="F24" s="30" t="s">
        <v>164</v>
      </c>
      <c r="G24" s="31">
        <v>5.95</v>
      </c>
      <c r="H24" s="51">
        <f t="shared" si="1"/>
        <v>7.735</v>
      </c>
      <c r="I24" s="30">
        <v>0.05</v>
      </c>
      <c r="J24" s="31">
        <f>'Hourly Labor Rates'!$E$9</f>
        <v>46.62</v>
      </c>
    </row>
    <row r="25">
      <c r="A25" s="44" t="s">
        <v>225</v>
      </c>
      <c r="B25" s="30" t="s">
        <v>172</v>
      </c>
      <c r="C25" s="30" t="s">
        <v>226</v>
      </c>
      <c r="D25" s="30" t="s">
        <v>227</v>
      </c>
      <c r="E25" s="50">
        <v>0.0</v>
      </c>
      <c r="F25" s="30" t="s">
        <v>164</v>
      </c>
      <c r="G25" s="31">
        <v>2.65</v>
      </c>
      <c r="H25" s="51">
        <f t="shared" si="1"/>
        <v>3.445</v>
      </c>
      <c r="I25" s="30">
        <v>0.05</v>
      </c>
      <c r="J25" s="31">
        <f>'Hourly Labor Rates'!$E$9</f>
        <v>46.62</v>
      </c>
    </row>
    <row r="26">
      <c r="A26" s="44" t="s">
        <v>228</v>
      </c>
      <c r="B26" s="30" t="s">
        <v>172</v>
      </c>
      <c r="C26" s="30" t="s">
        <v>229</v>
      </c>
      <c r="D26" s="30" t="s">
        <v>230</v>
      </c>
      <c r="E26" s="50">
        <v>0.0</v>
      </c>
      <c r="F26" s="30" t="s">
        <v>231</v>
      </c>
      <c r="G26" s="31">
        <v>2.65</v>
      </c>
      <c r="H26" s="51">
        <f>G26*0.3</f>
        <v>0.795</v>
      </c>
      <c r="I26" s="30">
        <v>0.05</v>
      </c>
      <c r="J26" s="31">
        <f>'Hourly Labor Rates'!$E$9</f>
        <v>46.62</v>
      </c>
    </row>
    <row r="27">
      <c r="A27" s="53" t="s">
        <v>232</v>
      </c>
      <c r="B27" s="30" t="s">
        <v>233</v>
      </c>
      <c r="C27" s="49">
        <v>1.920084249E9</v>
      </c>
      <c r="D27" s="30" t="s">
        <v>234</v>
      </c>
      <c r="E27" s="50">
        <v>0.0</v>
      </c>
      <c r="F27" s="30" t="s">
        <v>164</v>
      </c>
      <c r="G27" s="31">
        <v>4.53</v>
      </c>
      <c r="H27" s="51">
        <f t="shared" ref="H27:H34" si="2">G27*1.3</f>
        <v>5.889</v>
      </c>
      <c r="I27" s="30">
        <v>0.025</v>
      </c>
      <c r="J27" s="31">
        <f>'Hourly Labor Rates'!$E$9</f>
        <v>46.62</v>
      </c>
    </row>
    <row r="28">
      <c r="A28" s="53" t="s">
        <v>235</v>
      </c>
      <c r="B28" s="30" t="s">
        <v>236</v>
      </c>
      <c r="C28" s="54" t="s">
        <v>237</v>
      </c>
      <c r="D28" s="30" t="s">
        <v>238</v>
      </c>
      <c r="E28" s="50">
        <v>0.1</v>
      </c>
      <c r="F28" s="30" t="s">
        <v>164</v>
      </c>
      <c r="G28" s="31">
        <v>1.21</v>
      </c>
      <c r="H28" s="51">
        <f t="shared" si="2"/>
        <v>1.573</v>
      </c>
      <c r="I28" s="30">
        <v>0.02</v>
      </c>
      <c r="J28" s="31">
        <f>'Hourly Labor Rates'!$E$9</f>
        <v>46.62</v>
      </c>
    </row>
    <row r="29">
      <c r="A29" s="53" t="s">
        <v>239</v>
      </c>
      <c r="B29" s="30" t="s">
        <v>240</v>
      </c>
      <c r="C29" s="49">
        <v>7.35692035336E11</v>
      </c>
      <c r="D29" s="30" t="s">
        <v>241</v>
      </c>
      <c r="E29" s="50">
        <v>0.05</v>
      </c>
      <c r="F29" s="30" t="s">
        <v>164</v>
      </c>
      <c r="G29" s="31">
        <v>0.79</v>
      </c>
      <c r="H29" s="51">
        <f t="shared" si="2"/>
        <v>1.027</v>
      </c>
      <c r="I29" s="30">
        <v>0.02</v>
      </c>
      <c r="J29" s="31">
        <f>'Hourly Labor Rates'!$E$9</f>
        <v>46.62</v>
      </c>
    </row>
    <row r="30">
      <c r="A30" s="44" t="s">
        <v>242</v>
      </c>
      <c r="B30" s="30" t="s">
        <v>243</v>
      </c>
      <c r="C30" s="49">
        <v>18510.0</v>
      </c>
      <c r="D30" s="30" t="s">
        <v>244</v>
      </c>
      <c r="E30" s="50">
        <v>0.15</v>
      </c>
      <c r="F30" s="30" t="s">
        <v>164</v>
      </c>
      <c r="G30" s="31">
        <v>7.89</v>
      </c>
      <c r="H30" s="51">
        <f t="shared" si="2"/>
        <v>10.257</v>
      </c>
      <c r="I30" s="30">
        <v>1.25</v>
      </c>
      <c r="J30" s="31">
        <f>'Hourly Labor Rates'!$E$9</f>
        <v>46.62</v>
      </c>
    </row>
    <row r="31">
      <c r="A31" s="44" t="s">
        <v>245</v>
      </c>
      <c r="B31" s="30" t="s">
        <v>246</v>
      </c>
      <c r="C31" s="49">
        <v>2812562.0</v>
      </c>
      <c r="D31" s="30" t="s">
        <v>247</v>
      </c>
      <c r="E31" s="50">
        <v>0.15</v>
      </c>
      <c r="F31" s="30" t="s">
        <v>164</v>
      </c>
      <c r="G31" s="31">
        <v>10.97</v>
      </c>
      <c r="H31" s="51">
        <f t="shared" si="2"/>
        <v>14.261</v>
      </c>
      <c r="I31" s="30">
        <v>1.25</v>
      </c>
      <c r="J31" s="31">
        <f>'Hourly Labor Rates'!$E$9</f>
        <v>46.62</v>
      </c>
    </row>
    <row r="32">
      <c r="A32" s="44" t="s">
        <v>248</v>
      </c>
      <c r="B32" s="30" t="s">
        <v>246</v>
      </c>
      <c r="C32" s="55">
        <v>2733730.0</v>
      </c>
      <c r="D32" s="30" t="s">
        <v>249</v>
      </c>
      <c r="E32" s="50">
        <v>0.15</v>
      </c>
      <c r="F32" s="30" t="s">
        <v>164</v>
      </c>
      <c r="G32" s="31">
        <v>12.67</v>
      </c>
      <c r="H32" s="51">
        <f t="shared" si="2"/>
        <v>16.471</v>
      </c>
      <c r="I32" s="30">
        <v>1.25</v>
      </c>
      <c r="J32" s="31">
        <f>'Hourly Labor Rates'!$E$9</f>
        <v>46.62</v>
      </c>
    </row>
    <row r="33">
      <c r="A33" s="44" t="s">
        <v>250</v>
      </c>
      <c r="B33" s="30" t="s">
        <v>246</v>
      </c>
      <c r="C33" s="49">
        <v>2814816.0</v>
      </c>
      <c r="D33" s="30" t="s">
        <v>251</v>
      </c>
      <c r="E33" s="50">
        <v>0.15</v>
      </c>
      <c r="F33" s="30" t="s">
        <v>164</v>
      </c>
      <c r="G33" s="31">
        <v>12.67</v>
      </c>
      <c r="H33" s="51">
        <f t="shared" si="2"/>
        <v>16.471</v>
      </c>
      <c r="I33" s="30">
        <v>1.25</v>
      </c>
      <c r="J33" s="31">
        <f>'Hourly Labor Rates'!$E$9</f>
        <v>46.62</v>
      </c>
    </row>
    <row r="34">
      <c r="A34" s="44" t="s">
        <v>252</v>
      </c>
      <c r="B34" s="30" t="s">
        <v>253</v>
      </c>
      <c r="C34" s="54" t="s">
        <v>254</v>
      </c>
      <c r="D34" s="30" t="s">
        <v>255</v>
      </c>
      <c r="E34" s="50">
        <v>0.0</v>
      </c>
      <c r="F34" s="30" t="s">
        <v>164</v>
      </c>
      <c r="G34" s="31">
        <v>19.23</v>
      </c>
      <c r="H34" s="51">
        <f t="shared" si="2"/>
        <v>24.999</v>
      </c>
      <c r="I34" s="30">
        <v>0.1</v>
      </c>
      <c r="J34" s="31">
        <f>'Hourly Labor Rates'!$E$9</f>
        <v>46.62</v>
      </c>
    </row>
    <row r="35">
      <c r="A35" s="44" t="s">
        <v>256</v>
      </c>
      <c r="B35" s="30" t="s">
        <v>257</v>
      </c>
      <c r="C35" s="30" t="s">
        <v>258</v>
      </c>
      <c r="D35" s="30" t="s">
        <v>259</v>
      </c>
      <c r="E35" s="50">
        <v>0.0</v>
      </c>
      <c r="F35" s="30" t="s">
        <v>164</v>
      </c>
      <c r="G35" s="31" t="s">
        <v>260</v>
      </c>
      <c r="H35" s="31" t="s">
        <v>260</v>
      </c>
      <c r="I35" s="30">
        <v>0.05</v>
      </c>
      <c r="J35" s="31">
        <f>'Hourly Labor Rates'!$E$9</f>
        <v>46.62</v>
      </c>
    </row>
    <row r="36">
      <c r="A36" s="44" t="s">
        <v>261</v>
      </c>
      <c r="B36" s="30" t="s">
        <v>253</v>
      </c>
      <c r="C36" s="30" t="s">
        <v>262</v>
      </c>
      <c r="D36" s="30" t="s">
        <v>263</v>
      </c>
      <c r="E36" s="50">
        <v>0.0</v>
      </c>
      <c r="F36" s="30" t="s">
        <v>164</v>
      </c>
      <c r="G36" s="31">
        <v>30.77</v>
      </c>
      <c r="H36" s="51">
        <f t="shared" ref="H36:H37" si="3">G36*1.3</f>
        <v>40.001</v>
      </c>
      <c r="I36" s="30">
        <v>0.15</v>
      </c>
      <c r="J36" s="31">
        <f>'Hourly Labor Rates'!$E$9</f>
        <v>46.62</v>
      </c>
    </row>
    <row r="37">
      <c r="A37" s="44" t="s">
        <v>264</v>
      </c>
      <c r="B37" s="30" t="s">
        <v>253</v>
      </c>
      <c r="C37" s="30" t="s">
        <v>265</v>
      </c>
      <c r="D37" s="30" t="s">
        <v>266</v>
      </c>
      <c r="E37" s="50">
        <v>0.0</v>
      </c>
      <c r="F37" s="30" t="s">
        <v>164</v>
      </c>
      <c r="G37" s="31">
        <v>19.23</v>
      </c>
      <c r="H37" s="51">
        <f t="shared" si="3"/>
        <v>24.999</v>
      </c>
      <c r="I37" s="30">
        <v>0.05</v>
      </c>
      <c r="J37" s="31">
        <f>'Hourly Labor Rates'!$E$9</f>
        <v>46.62</v>
      </c>
    </row>
    <row r="38">
      <c r="A38" s="56"/>
    </row>
    <row r="39">
      <c r="A39" s="21" t="s">
        <v>49</v>
      </c>
    </row>
    <row r="40">
      <c r="A40" s="22" t="s">
        <v>267</v>
      </c>
      <c r="B40" s="18"/>
      <c r="C40" s="19"/>
    </row>
    <row r="41">
      <c r="A41" s="56"/>
    </row>
    <row r="42">
      <c r="A42" s="56"/>
    </row>
    <row r="43">
      <c r="A43" s="56"/>
    </row>
    <row r="44">
      <c r="A44" s="56"/>
    </row>
    <row r="45">
      <c r="A45" s="56"/>
    </row>
    <row r="46">
      <c r="A46" s="56"/>
    </row>
    <row r="47">
      <c r="A47" s="56"/>
    </row>
    <row r="48">
      <c r="A48" s="56"/>
    </row>
    <row r="49">
      <c r="A49" s="56"/>
    </row>
    <row r="50">
      <c r="A50" s="56"/>
    </row>
    <row r="51">
      <c r="A51" s="56"/>
    </row>
    <row r="52">
      <c r="A52" s="56"/>
    </row>
    <row r="53">
      <c r="A53" s="56"/>
    </row>
    <row r="54">
      <c r="A54" s="56"/>
    </row>
    <row r="55">
      <c r="A55" s="56"/>
    </row>
    <row r="56">
      <c r="A56" s="56"/>
    </row>
    <row r="57">
      <c r="A57" s="56"/>
    </row>
    <row r="58">
      <c r="A58" s="56"/>
    </row>
    <row r="59">
      <c r="A59" s="56"/>
    </row>
    <row r="60">
      <c r="A60" s="56"/>
    </row>
    <row r="61">
      <c r="A61" s="56"/>
    </row>
    <row r="62">
      <c r="A62" s="56"/>
    </row>
    <row r="63">
      <c r="A63" s="56"/>
    </row>
    <row r="64">
      <c r="A64" s="56"/>
    </row>
    <row r="65">
      <c r="A65" s="56"/>
    </row>
    <row r="66">
      <c r="A66" s="56"/>
    </row>
    <row r="67">
      <c r="A67" s="56"/>
    </row>
    <row r="68">
      <c r="A68" s="56"/>
    </row>
    <row r="69">
      <c r="A69" s="56"/>
    </row>
    <row r="70">
      <c r="A70" s="56"/>
    </row>
    <row r="71">
      <c r="A71" s="56"/>
    </row>
    <row r="72">
      <c r="A72" s="56"/>
    </row>
    <row r="73">
      <c r="A73" s="56"/>
    </row>
    <row r="74">
      <c r="A74" s="56"/>
    </row>
    <row r="75">
      <c r="A75" s="56"/>
    </row>
    <row r="76">
      <c r="A76" s="56"/>
    </row>
    <row r="77">
      <c r="A77" s="56"/>
    </row>
    <row r="78">
      <c r="A78" s="56"/>
    </row>
    <row r="79">
      <c r="A79" s="56"/>
    </row>
    <row r="80">
      <c r="A80" s="56"/>
    </row>
    <row r="81">
      <c r="A81" s="56"/>
    </row>
    <row r="82">
      <c r="A82" s="56"/>
    </row>
    <row r="83">
      <c r="A83" s="56"/>
    </row>
    <row r="84">
      <c r="A84" s="56"/>
    </row>
    <row r="85">
      <c r="A85" s="56"/>
    </row>
    <row r="86">
      <c r="A86" s="56"/>
    </row>
    <row r="87">
      <c r="A87" s="56"/>
    </row>
    <row r="88">
      <c r="A88" s="56"/>
    </row>
    <row r="89">
      <c r="A89" s="56"/>
    </row>
    <row r="90">
      <c r="A90" s="56"/>
    </row>
    <row r="91">
      <c r="A91" s="56"/>
    </row>
    <row r="92">
      <c r="A92" s="56"/>
    </row>
    <row r="93">
      <c r="A93" s="56"/>
    </row>
    <row r="94">
      <c r="A94" s="56"/>
    </row>
    <row r="95">
      <c r="A95" s="56"/>
    </row>
    <row r="96">
      <c r="A96" s="56"/>
    </row>
    <row r="97">
      <c r="A97" s="56"/>
    </row>
    <row r="98">
      <c r="A98" s="56"/>
    </row>
    <row r="99">
      <c r="A99" s="56"/>
    </row>
    <row r="100">
      <c r="A100" s="56"/>
    </row>
    <row r="101">
      <c r="A101" s="56"/>
    </row>
    <row r="102">
      <c r="A102" s="56"/>
    </row>
    <row r="103">
      <c r="A103" s="56"/>
    </row>
    <row r="104">
      <c r="A104" s="56"/>
    </row>
    <row r="105">
      <c r="A105" s="56"/>
    </row>
    <row r="106">
      <c r="A106" s="56"/>
    </row>
    <row r="107">
      <c r="A107" s="56"/>
    </row>
    <row r="108">
      <c r="A108" s="56"/>
    </row>
    <row r="109">
      <c r="A109" s="56"/>
    </row>
    <row r="110">
      <c r="A110" s="56"/>
    </row>
    <row r="111">
      <c r="A111" s="56"/>
    </row>
    <row r="112">
      <c r="A112" s="56"/>
    </row>
    <row r="113">
      <c r="A113" s="56"/>
    </row>
    <row r="114">
      <c r="A114" s="56"/>
    </row>
    <row r="115">
      <c r="A115" s="56"/>
    </row>
    <row r="116">
      <c r="A116" s="56"/>
    </row>
    <row r="117">
      <c r="A117" s="56"/>
    </row>
    <row r="118">
      <c r="A118" s="56"/>
    </row>
    <row r="119">
      <c r="A119" s="56"/>
    </row>
    <row r="120">
      <c r="A120" s="56"/>
    </row>
    <row r="121">
      <c r="A121" s="56"/>
    </row>
    <row r="122">
      <c r="A122" s="56"/>
    </row>
    <row r="123">
      <c r="A123" s="56"/>
    </row>
    <row r="124">
      <c r="A124" s="56"/>
    </row>
    <row r="125">
      <c r="A125" s="56"/>
    </row>
    <row r="126">
      <c r="A126" s="56"/>
    </row>
    <row r="127">
      <c r="A127" s="56"/>
    </row>
    <row r="128">
      <c r="A128" s="56"/>
    </row>
    <row r="129">
      <c r="A129" s="56"/>
    </row>
    <row r="130">
      <c r="A130" s="56"/>
    </row>
    <row r="131">
      <c r="A131" s="56"/>
    </row>
    <row r="132">
      <c r="A132" s="56"/>
    </row>
    <row r="133">
      <c r="A133" s="56"/>
    </row>
    <row r="134">
      <c r="A134" s="56"/>
    </row>
    <row r="135">
      <c r="A135" s="56"/>
    </row>
    <row r="136">
      <c r="A136" s="56"/>
    </row>
    <row r="137">
      <c r="A137" s="56"/>
    </row>
    <row r="138">
      <c r="A138" s="56"/>
    </row>
    <row r="139">
      <c r="A139" s="56"/>
    </row>
    <row r="140">
      <c r="A140" s="56"/>
    </row>
    <row r="141">
      <c r="A141" s="56"/>
    </row>
    <row r="142">
      <c r="A142" s="56"/>
    </row>
    <row r="143">
      <c r="A143" s="56"/>
    </row>
    <row r="144">
      <c r="A144" s="56"/>
    </row>
    <row r="145">
      <c r="A145" s="56"/>
    </row>
    <row r="146">
      <c r="A146" s="56"/>
    </row>
    <row r="147">
      <c r="A147" s="56"/>
    </row>
    <row r="148">
      <c r="A148" s="56"/>
    </row>
    <row r="149">
      <c r="A149" s="56"/>
    </row>
    <row r="150">
      <c r="A150" s="56"/>
    </row>
    <row r="151">
      <c r="A151" s="56"/>
    </row>
    <row r="152">
      <c r="A152" s="56"/>
    </row>
    <row r="153">
      <c r="A153" s="56"/>
    </row>
    <row r="154">
      <c r="A154" s="56"/>
    </row>
    <row r="155">
      <c r="A155" s="56"/>
    </row>
    <row r="156">
      <c r="A156" s="56"/>
    </row>
    <row r="157">
      <c r="A157" s="56"/>
    </row>
    <row r="158">
      <c r="A158" s="56"/>
    </row>
    <row r="159">
      <c r="A159" s="56"/>
    </row>
    <row r="160">
      <c r="A160" s="56"/>
    </row>
    <row r="161">
      <c r="A161" s="56"/>
    </row>
    <row r="162">
      <c r="A162" s="56"/>
    </row>
    <row r="163">
      <c r="A163" s="56"/>
    </row>
    <row r="164">
      <c r="A164" s="56"/>
    </row>
    <row r="165">
      <c r="A165" s="56"/>
    </row>
    <row r="166">
      <c r="A166" s="56"/>
    </row>
    <row r="167">
      <c r="A167" s="56"/>
    </row>
    <row r="168">
      <c r="A168" s="56"/>
    </row>
    <row r="169">
      <c r="A169" s="56"/>
    </row>
    <row r="170">
      <c r="A170" s="56"/>
    </row>
    <row r="171">
      <c r="A171" s="56"/>
    </row>
    <row r="172">
      <c r="A172" s="56"/>
    </row>
    <row r="173">
      <c r="A173" s="56"/>
    </row>
    <row r="174">
      <c r="A174" s="56"/>
    </row>
    <row r="175">
      <c r="A175" s="56"/>
    </row>
    <row r="176">
      <c r="A176" s="56"/>
    </row>
    <row r="177">
      <c r="A177" s="56"/>
    </row>
    <row r="178">
      <c r="A178" s="56"/>
    </row>
    <row r="179">
      <c r="A179" s="56"/>
    </row>
    <row r="180">
      <c r="A180" s="56"/>
    </row>
    <row r="181">
      <c r="A181" s="56"/>
    </row>
    <row r="182">
      <c r="A182" s="56"/>
    </row>
    <row r="183">
      <c r="A183" s="56"/>
    </row>
    <row r="184">
      <c r="A184" s="56"/>
    </row>
    <row r="185">
      <c r="A185" s="56"/>
    </row>
    <row r="186">
      <c r="A186" s="56"/>
    </row>
    <row r="187">
      <c r="A187" s="56"/>
    </row>
    <row r="188">
      <c r="A188" s="56"/>
    </row>
    <row r="189">
      <c r="A189" s="56"/>
    </row>
    <row r="190">
      <c r="A190" s="56"/>
    </row>
    <row r="191">
      <c r="A191" s="56"/>
    </row>
    <row r="192">
      <c r="A192" s="56"/>
    </row>
    <row r="193">
      <c r="A193" s="56"/>
    </row>
    <row r="194">
      <c r="A194" s="56"/>
    </row>
    <row r="195">
      <c r="A195" s="56"/>
    </row>
    <row r="196">
      <c r="A196" s="56"/>
    </row>
    <row r="197">
      <c r="A197" s="56"/>
    </row>
    <row r="198">
      <c r="A198" s="56"/>
    </row>
    <row r="199">
      <c r="A199" s="56"/>
    </row>
    <row r="200">
      <c r="A200" s="56"/>
    </row>
    <row r="201">
      <c r="A201" s="56"/>
    </row>
    <row r="202">
      <c r="A202" s="56"/>
    </row>
    <row r="203">
      <c r="A203" s="56"/>
    </row>
    <row r="204">
      <c r="A204" s="56"/>
    </row>
    <row r="205">
      <c r="A205" s="56"/>
    </row>
    <row r="206">
      <c r="A206" s="56"/>
    </row>
    <row r="207">
      <c r="A207" s="56"/>
    </row>
    <row r="208">
      <c r="A208" s="56"/>
    </row>
    <row r="209">
      <c r="A209" s="56"/>
    </row>
    <row r="210">
      <c r="A210" s="56"/>
    </row>
    <row r="211">
      <c r="A211" s="56"/>
    </row>
    <row r="212">
      <c r="A212" s="56"/>
    </row>
    <row r="213">
      <c r="A213" s="56"/>
    </row>
    <row r="214">
      <c r="A214" s="56"/>
    </row>
    <row r="215">
      <c r="A215" s="56"/>
    </row>
    <row r="216">
      <c r="A216" s="56"/>
    </row>
    <row r="217">
      <c r="A217" s="56"/>
    </row>
    <row r="218">
      <c r="A218" s="56"/>
    </row>
    <row r="219">
      <c r="A219" s="56"/>
    </row>
    <row r="220">
      <c r="A220" s="56"/>
    </row>
    <row r="221">
      <c r="A221" s="56"/>
    </row>
    <row r="222">
      <c r="A222" s="56"/>
    </row>
    <row r="223">
      <c r="A223" s="56"/>
    </row>
    <row r="224">
      <c r="A224" s="56"/>
    </row>
    <row r="225">
      <c r="A225" s="56"/>
    </row>
    <row r="226">
      <c r="A226" s="56"/>
    </row>
    <row r="227">
      <c r="A227" s="56"/>
    </row>
    <row r="228">
      <c r="A228" s="56"/>
    </row>
    <row r="229">
      <c r="A229" s="56"/>
    </row>
    <row r="230">
      <c r="A230" s="56"/>
    </row>
    <row r="231">
      <c r="A231" s="56"/>
    </row>
    <row r="232">
      <c r="A232" s="56"/>
    </row>
    <row r="233">
      <c r="A233" s="56"/>
    </row>
    <row r="234">
      <c r="A234" s="56"/>
    </row>
    <row r="235">
      <c r="A235" s="56"/>
    </row>
    <row r="236">
      <c r="A236" s="56"/>
    </row>
    <row r="237">
      <c r="A237" s="56"/>
    </row>
    <row r="238">
      <c r="A238" s="56"/>
    </row>
    <row r="239">
      <c r="A239" s="56"/>
    </row>
    <row r="240">
      <c r="A240" s="56"/>
    </row>
    <row r="241">
      <c r="A241" s="56"/>
    </row>
    <row r="242">
      <c r="A242" s="56"/>
    </row>
    <row r="243">
      <c r="A243" s="56"/>
    </row>
    <row r="244">
      <c r="A244" s="56"/>
    </row>
    <row r="245">
      <c r="A245" s="56"/>
    </row>
    <row r="246">
      <c r="A246" s="56"/>
    </row>
    <row r="247">
      <c r="A247" s="56"/>
    </row>
    <row r="248">
      <c r="A248" s="56"/>
    </row>
    <row r="249">
      <c r="A249" s="56"/>
    </row>
    <row r="250">
      <c r="A250" s="56"/>
    </row>
    <row r="251">
      <c r="A251" s="56"/>
    </row>
    <row r="252">
      <c r="A252" s="56"/>
    </row>
    <row r="253">
      <c r="A253" s="56"/>
    </row>
    <row r="254">
      <c r="A254" s="56"/>
    </row>
    <row r="255">
      <c r="A255" s="56"/>
    </row>
    <row r="256">
      <c r="A256" s="56"/>
    </row>
    <row r="257">
      <c r="A257" s="56"/>
    </row>
    <row r="258">
      <c r="A258" s="56"/>
    </row>
    <row r="259">
      <c r="A259" s="56"/>
    </row>
    <row r="260">
      <c r="A260" s="56"/>
    </row>
    <row r="261">
      <c r="A261" s="56"/>
    </row>
    <row r="262">
      <c r="A262" s="56"/>
    </row>
    <row r="263">
      <c r="A263" s="56"/>
    </row>
    <row r="264">
      <c r="A264" s="56"/>
    </row>
    <row r="265">
      <c r="A265" s="56"/>
    </row>
    <row r="266">
      <c r="A266" s="56"/>
    </row>
    <row r="267">
      <c r="A267" s="56"/>
    </row>
    <row r="268">
      <c r="A268" s="56"/>
    </row>
    <row r="269">
      <c r="A269" s="56"/>
    </row>
    <row r="270">
      <c r="A270" s="56"/>
    </row>
    <row r="271">
      <c r="A271" s="56"/>
    </row>
    <row r="272">
      <c r="A272" s="56"/>
    </row>
    <row r="273">
      <c r="A273" s="56"/>
    </row>
    <row r="274">
      <c r="A274" s="56"/>
    </row>
    <row r="275">
      <c r="A275" s="56"/>
    </row>
    <row r="276">
      <c r="A276" s="56"/>
    </row>
    <row r="277">
      <c r="A277" s="56"/>
    </row>
    <row r="278">
      <c r="A278" s="56"/>
    </row>
    <row r="279">
      <c r="A279" s="56"/>
    </row>
    <row r="280">
      <c r="A280" s="56"/>
    </row>
    <row r="281">
      <c r="A281" s="56"/>
    </row>
    <row r="282">
      <c r="A282" s="56"/>
    </row>
    <row r="283">
      <c r="A283" s="56"/>
    </row>
    <row r="284">
      <c r="A284" s="56"/>
    </row>
    <row r="285">
      <c r="A285" s="56"/>
    </row>
    <row r="286">
      <c r="A286" s="56"/>
    </row>
    <row r="287">
      <c r="A287" s="56"/>
    </row>
    <row r="288">
      <c r="A288" s="56"/>
    </row>
    <row r="289">
      <c r="A289" s="56"/>
    </row>
    <row r="290">
      <c r="A290" s="56"/>
    </row>
    <row r="291">
      <c r="A291" s="56"/>
    </row>
    <row r="292">
      <c r="A292" s="56"/>
    </row>
    <row r="293">
      <c r="A293" s="56"/>
    </row>
    <row r="294">
      <c r="A294" s="56"/>
    </row>
    <row r="295">
      <c r="A295" s="56"/>
    </row>
    <row r="296">
      <c r="A296" s="56"/>
    </row>
    <row r="297">
      <c r="A297" s="56"/>
    </row>
    <row r="298">
      <c r="A298" s="56"/>
    </row>
    <row r="299">
      <c r="A299" s="56"/>
    </row>
    <row r="300">
      <c r="A300" s="56"/>
    </row>
    <row r="301">
      <c r="A301" s="56"/>
    </row>
    <row r="302">
      <c r="A302" s="56"/>
    </row>
    <row r="303">
      <c r="A303" s="56"/>
    </row>
    <row r="304">
      <c r="A304" s="56"/>
    </row>
    <row r="305">
      <c r="A305" s="56"/>
    </row>
    <row r="306">
      <c r="A306" s="56"/>
    </row>
    <row r="307">
      <c r="A307" s="56"/>
    </row>
    <row r="308">
      <c r="A308" s="56"/>
    </row>
    <row r="309">
      <c r="A309" s="56"/>
    </row>
    <row r="310">
      <c r="A310" s="56"/>
    </row>
    <row r="311">
      <c r="A311" s="56"/>
    </row>
    <row r="312">
      <c r="A312" s="56"/>
    </row>
    <row r="313">
      <c r="A313" s="56"/>
    </row>
    <row r="314">
      <c r="A314" s="56"/>
    </row>
    <row r="315">
      <c r="A315" s="56"/>
    </row>
    <row r="316">
      <c r="A316" s="56"/>
    </row>
    <row r="317">
      <c r="A317" s="56"/>
    </row>
    <row r="318">
      <c r="A318" s="56"/>
    </row>
    <row r="319">
      <c r="A319" s="56"/>
    </row>
    <row r="320">
      <c r="A320" s="56"/>
    </row>
    <row r="321">
      <c r="A321" s="56"/>
    </row>
    <row r="322">
      <c r="A322" s="56"/>
    </row>
    <row r="323">
      <c r="A323" s="56"/>
    </row>
    <row r="324">
      <c r="A324" s="56"/>
    </row>
    <row r="325">
      <c r="A325" s="56"/>
    </row>
    <row r="326">
      <c r="A326" s="56"/>
    </row>
    <row r="327">
      <c r="A327" s="56"/>
    </row>
    <row r="328">
      <c r="A328" s="56"/>
    </row>
    <row r="329">
      <c r="A329" s="56"/>
    </row>
    <row r="330">
      <c r="A330" s="56"/>
    </row>
    <row r="331">
      <c r="A331" s="56"/>
    </row>
    <row r="332">
      <c r="A332" s="56"/>
    </row>
    <row r="333">
      <c r="A333" s="56"/>
    </row>
    <row r="334">
      <c r="A334" s="56"/>
    </row>
    <row r="335">
      <c r="A335" s="56"/>
    </row>
    <row r="336">
      <c r="A336" s="56"/>
    </row>
    <row r="337">
      <c r="A337" s="56"/>
    </row>
    <row r="338">
      <c r="A338" s="56"/>
    </row>
    <row r="339">
      <c r="A339" s="56"/>
    </row>
    <row r="340">
      <c r="A340" s="56"/>
    </row>
    <row r="341">
      <c r="A341" s="56"/>
    </row>
    <row r="342">
      <c r="A342" s="56"/>
    </row>
    <row r="343">
      <c r="A343" s="56"/>
    </row>
    <row r="344">
      <c r="A344" s="56"/>
    </row>
    <row r="345">
      <c r="A345" s="56"/>
    </row>
    <row r="346">
      <c r="A346" s="56"/>
    </row>
    <row r="347">
      <c r="A347" s="56"/>
    </row>
    <row r="348">
      <c r="A348" s="56"/>
    </row>
    <row r="349">
      <c r="A349" s="56"/>
    </row>
    <row r="350">
      <c r="A350" s="56"/>
    </row>
    <row r="351">
      <c r="A351" s="56"/>
    </row>
    <row r="352">
      <c r="A352" s="56"/>
    </row>
    <row r="353">
      <c r="A353" s="56"/>
    </row>
    <row r="354">
      <c r="A354" s="56"/>
    </row>
    <row r="355">
      <c r="A355" s="56"/>
    </row>
    <row r="356">
      <c r="A356" s="56"/>
    </row>
    <row r="357">
      <c r="A357" s="56"/>
    </row>
    <row r="358">
      <c r="A358" s="56"/>
    </row>
    <row r="359">
      <c r="A359" s="56"/>
    </row>
    <row r="360">
      <c r="A360" s="56"/>
    </row>
    <row r="361">
      <c r="A361" s="56"/>
    </row>
    <row r="362">
      <c r="A362" s="56"/>
    </row>
    <row r="363">
      <c r="A363" s="56"/>
    </row>
    <row r="364">
      <c r="A364" s="56"/>
    </row>
    <row r="365">
      <c r="A365" s="56"/>
    </row>
    <row r="366">
      <c r="A366" s="56"/>
    </row>
    <row r="367">
      <c r="A367" s="56"/>
    </row>
    <row r="368">
      <c r="A368" s="56"/>
    </row>
    <row r="369">
      <c r="A369" s="56"/>
    </row>
    <row r="370">
      <c r="A370" s="56"/>
    </row>
    <row r="371">
      <c r="A371" s="56"/>
    </row>
    <row r="372">
      <c r="A372" s="56"/>
    </row>
    <row r="373">
      <c r="A373" s="56"/>
    </row>
    <row r="374">
      <c r="A374" s="56"/>
    </row>
    <row r="375">
      <c r="A375" s="56"/>
    </row>
    <row r="376">
      <c r="A376" s="56"/>
    </row>
    <row r="377">
      <c r="A377" s="56"/>
    </row>
    <row r="378">
      <c r="A378" s="56"/>
    </row>
    <row r="379">
      <c r="A379" s="56"/>
    </row>
    <row r="380">
      <c r="A380" s="56"/>
    </row>
    <row r="381">
      <c r="A381" s="56"/>
    </row>
    <row r="382">
      <c r="A382" s="56"/>
    </row>
    <row r="383">
      <c r="A383" s="56"/>
    </row>
    <row r="384">
      <c r="A384" s="56"/>
    </row>
    <row r="385">
      <c r="A385" s="56"/>
    </row>
    <row r="386">
      <c r="A386" s="56"/>
    </row>
    <row r="387">
      <c r="A387" s="56"/>
    </row>
    <row r="388">
      <c r="A388" s="56"/>
    </row>
    <row r="389">
      <c r="A389" s="56"/>
    </row>
    <row r="390">
      <c r="A390" s="56"/>
    </row>
    <row r="391">
      <c r="A391" s="56"/>
    </row>
    <row r="392">
      <c r="A392" s="56"/>
    </row>
    <row r="393">
      <c r="A393" s="56"/>
    </row>
    <row r="394">
      <c r="A394" s="56"/>
    </row>
    <row r="395">
      <c r="A395" s="56"/>
    </row>
    <row r="396">
      <c r="A396" s="56"/>
    </row>
    <row r="397">
      <c r="A397" s="56"/>
    </row>
    <row r="398">
      <c r="A398" s="56"/>
    </row>
    <row r="399">
      <c r="A399" s="56"/>
    </row>
    <row r="400">
      <c r="A400" s="56"/>
    </row>
    <row r="401">
      <c r="A401" s="56"/>
    </row>
    <row r="402">
      <c r="A402" s="56"/>
    </row>
    <row r="403">
      <c r="A403" s="56"/>
    </row>
    <row r="404">
      <c r="A404" s="56"/>
    </row>
    <row r="405">
      <c r="A405" s="56"/>
    </row>
    <row r="406">
      <c r="A406" s="56"/>
    </row>
    <row r="407">
      <c r="A407" s="56"/>
    </row>
    <row r="408">
      <c r="A408" s="56"/>
    </row>
    <row r="409">
      <c r="A409" s="56"/>
    </row>
    <row r="410">
      <c r="A410" s="56"/>
    </row>
    <row r="411">
      <c r="A411" s="56"/>
    </row>
    <row r="412">
      <c r="A412" s="56"/>
    </row>
    <row r="413">
      <c r="A413" s="56"/>
    </row>
    <row r="414">
      <c r="A414" s="56"/>
    </row>
    <row r="415">
      <c r="A415" s="56"/>
    </row>
    <row r="416">
      <c r="A416" s="56"/>
    </row>
    <row r="417">
      <c r="A417" s="56"/>
    </row>
    <row r="418">
      <c r="A418" s="56"/>
    </row>
    <row r="419">
      <c r="A419" s="56"/>
    </row>
    <row r="420">
      <c r="A420" s="56"/>
    </row>
    <row r="421">
      <c r="A421" s="56"/>
    </row>
    <row r="422">
      <c r="A422" s="56"/>
    </row>
    <row r="423">
      <c r="A423" s="56"/>
    </row>
    <row r="424">
      <c r="A424" s="56"/>
    </row>
    <row r="425">
      <c r="A425" s="56"/>
    </row>
    <row r="426">
      <c r="A426" s="56"/>
    </row>
    <row r="427">
      <c r="A427" s="56"/>
    </row>
    <row r="428">
      <c r="A428" s="56"/>
    </row>
    <row r="429">
      <c r="A429" s="56"/>
    </row>
    <row r="430">
      <c r="A430" s="56"/>
    </row>
    <row r="431">
      <c r="A431" s="56"/>
    </row>
    <row r="432">
      <c r="A432" s="56"/>
    </row>
    <row r="433">
      <c r="A433" s="56"/>
    </row>
    <row r="434">
      <c r="A434" s="56"/>
    </row>
    <row r="435">
      <c r="A435" s="56"/>
    </row>
    <row r="436">
      <c r="A436" s="56"/>
    </row>
    <row r="437">
      <c r="A437" s="56"/>
    </row>
    <row r="438">
      <c r="A438" s="56"/>
    </row>
    <row r="439">
      <c r="A439" s="56"/>
    </row>
    <row r="440">
      <c r="A440" s="56"/>
    </row>
    <row r="441">
      <c r="A441" s="56"/>
    </row>
    <row r="442">
      <c r="A442" s="56"/>
    </row>
    <row r="443">
      <c r="A443" s="56"/>
    </row>
    <row r="444">
      <c r="A444" s="56"/>
    </row>
    <row r="445">
      <c r="A445" s="56"/>
    </row>
    <row r="446">
      <c r="A446" s="56"/>
    </row>
    <row r="447">
      <c r="A447" s="56"/>
    </row>
    <row r="448">
      <c r="A448" s="56"/>
    </row>
    <row r="449">
      <c r="A449" s="56"/>
    </row>
    <row r="450">
      <c r="A450" s="56"/>
    </row>
    <row r="451">
      <c r="A451" s="56"/>
    </row>
    <row r="452">
      <c r="A452" s="56"/>
    </row>
    <row r="453">
      <c r="A453" s="56"/>
    </row>
    <row r="454">
      <c r="A454" s="56"/>
    </row>
    <row r="455">
      <c r="A455" s="56"/>
    </row>
    <row r="456">
      <c r="A456" s="56"/>
    </row>
    <row r="457">
      <c r="A457" s="56"/>
    </row>
    <row r="458">
      <c r="A458" s="56"/>
    </row>
    <row r="459">
      <c r="A459" s="56"/>
    </row>
    <row r="460">
      <c r="A460" s="56"/>
    </row>
    <row r="461">
      <c r="A461" s="56"/>
    </row>
    <row r="462">
      <c r="A462" s="56"/>
    </row>
    <row r="463">
      <c r="A463" s="56"/>
    </row>
    <row r="464">
      <c r="A464" s="56"/>
    </row>
    <row r="465">
      <c r="A465" s="56"/>
    </row>
    <row r="466">
      <c r="A466" s="56"/>
    </row>
    <row r="467">
      <c r="A467" s="56"/>
    </row>
    <row r="468">
      <c r="A468" s="56"/>
    </row>
    <row r="469">
      <c r="A469" s="56"/>
    </row>
    <row r="470">
      <c r="A470" s="56"/>
    </row>
    <row r="471">
      <c r="A471" s="56"/>
    </row>
    <row r="472">
      <c r="A472" s="56"/>
    </row>
    <row r="473">
      <c r="A473" s="56"/>
    </row>
    <row r="474">
      <c r="A474" s="56"/>
    </row>
    <row r="475">
      <c r="A475" s="56"/>
    </row>
    <row r="476">
      <c r="A476" s="56"/>
    </row>
    <row r="477">
      <c r="A477" s="56"/>
    </row>
    <row r="478">
      <c r="A478" s="56"/>
    </row>
    <row r="479">
      <c r="A479" s="56"/>
    </row>
    <row r="480">
      <c r="A480" s="56"/>
    </row>
    <row r="481">
      <c r="A481" s="56"/>
    </row>
    <row r="482">
      <c r="A482" s="56"/>
    </row>
    <row r="483">
      <c r="A483" s="56"/>
    </row>
    <row r="484">
      <c r="A484" s="56"/>
    </row>
    <row r="485">
      <c r="A485" s="56"/>
    </row>
    <row r="486">
      <c r="A486" s="56"/>
    </row>
    <row r="487">
      <c r="A487" s="56"/>
    </row>
    <row r="488">
      <c r="A488" s="56"/>
    </row>
    <row r="489">
      <c r="A489" s="56"/>
    </row>
    <row r="490">
      <c r="A490" s="56"/>
    </row>
    <row r="491">
      <c r="A491" s="56"/>
    </row>
    <row r="492">
      <c r="A492" s="56"/>
    </row>
    <row r="493">
      <c r="A493" s="56"/>
    </row>
    <row r="494">
      <c r="A494" s="56"/>
    </row>
    <row r="495">
      <c r="A495" s="56"/>
    </row>
    <row r="496">
      <c r="A496" s="56"/>
    </row>
    <row r="497">
      <c r="A497" s="56"/>
    </row>
    <row r="498">
      <c r="A498" s="56"/>
    </row>
    <row r="499">
      <c r="A499" s="56"/>
    </row>
    <row r="500">
      <c r="A500" s="56"/>
    </row>
    <row r="501">
      <c r="A501" s="56"/>
    </row>
    <row r="502">
      <c r="A502" s="56"/>
    </row>
    <row r="503">
      <c r="A503" s="56"/>
    </row>
    <row r="504">
      <c r="A504" s="56"/>
    </row>
    <row r="505">
      <c r="A505" s="56"/>
    </row>
    <row r="506">
      <c r="A506" s="56"/>
    </row>
    <row r="507">
      <c r="A507" s="56"/>
    </row>
    <row r="508">
      <c r="A508" s="56"/>
    </row>
    <row r="509">
      <c r="A509" s="56"/>
    </row>
    <row r="510">
      <c r="A510" s="56"/>
    </row>
    <row r="511">
      <c r="A511" s="56"/>
    </row>
    <row r="512">
      <c r="A512" s="56"/>
    </row>
    <row r="513">
      <c r="A513" s="56"/>
    </row>
    <row r="514">
      <c r="A514" s="56"/>
    </row>
    <row r="515">
      <c r="A515" s="56"/>
    </row>
    <row r="516">
      <c r="A516" s="56"/>
    </row>
    <row r="517">
      <c r="A517" s="56"/>
    </row>
    <row r="518">
      <c r="A518" s="56"/>
    </row>
    <row r="519">
      <c r="A519" s="56"/>
    </row>
    <row r="520">
      <c r="A520" s="56"/>
    </row>
    <row r="521">
      <c r="A521" s="56"/>
    </row>
    <row r="522">
      <c r="A522" s="56"/>
    </row>
    <row r="523">
      <c r="A523" s="56"/>
    </row>
    <row r="524">
      <c r="A524" s="56"/>
    </row>
    <row r="525">
      <c r="A525" s="56"/>
    </row>
    <row r="526">
      <c r="A526" s="56"/>
    </row>
    <row r="527">
      <c r="A527" s="56"/>
    </row>
    <row r="528">
      <c r="A528" s="56"/>
    </row>
    <row r="529">
      <c r="A529" s="56"/>
    </row>
    <row r="530">
      <c r="A530" s="56"/>
    </row>
    <row r="531">
      <c r="A531" s="56"/>
    </row>
    <row r="532">
      <c r="A532" s="56"/>
    </row>
    <row r="533">
      <c r="A533" s="56"/>
    </row>
    <row r="534">
      <c r="A534" s="56"/>
    </row>
    <row r="535">
      <c r="A535" s="56"/>
    </row>
    <row r="536">
      <c r="A536" s="56"/>
    </row>
    <row r="537">
      <c r="A537" s="56"/>
    </row>
    <row r="538">
      <c r="A538" s="56"/>
    </row>
    <row r="539">
      <c r="A539" s="56"/>
    </row>
    <row r="540">
      <c r="A540" s="56"/>
    </row>
    <row r="541">
      <c r="A541" s="56"/>
    </row>
    <row r="542">
      <c r="A542" s="56"/>
    </row>
    <row r="543">
      <c r="A543" s="56"/>
    </row>
    <row r="544">
      <c r="A544" s="56"/>
    </row>
    <row r="545">
      <c r="A545" s="56"/>
    </row>
    <row r="546">
      <c r="A546" s="56"/>
    </row>
    <row r="547">
      <c r="A547" s="56"/>
    </row>
    <row r="548">
      <c r="A548" s="56"/>
    </row>
    <row r="549">
      <c r="A549" s="56"/>
    </row>
    <row r="550">
      <c r="A550" s="56"/>
    </row>
    <row r="551">
      <c r="A551" s="56"/>
    </row>
    <row r="552">
      <c r="A552" s="56"/>
    </row>
    <row r="553">
      <c r="A553" s="56"/>
    </row>
    <row r="554">
      <c r="A554" s="56"/>
    </row>
    <row r="555">
      <c r="A555" s="56"/>
    </row>
    <row r="556">
      <c r="A556" s="56"/>
    </row>
    <row r="557">
      <c r="A557" s="56"/>
    </row>
    <row r="558">
      <c r="A558" s="56"/>
    </row>
    <row r="559">
      <c r="A559" s="56"/>
    </row>
    <row r="560">
      <c r="A560" s="56"/>
    </row>
    <row r="561">
      <c r="A561" s="56"/>
    </row>
    <row r="562">
      <c r="A562" s="56"/>
    </row>
    <row r="563">
      <c r="A563" s="56"/>
    </row>
    <row r="564">
      <c r="A564" s="56"/>
    </row>
    <row r="565">
      <c r="A565" s="56"/>
    </row>
    <row r="566">
      <c r="A566" s="56"/>
    </row>
    <row r="567">
      <c r="A567" s="56"/>
    </row>
    <row r="568">
      <c r="A568" s="56"/>
    </row>
    <row r="569">
      <c r="A569" s="56"/>
    </row>
    <row r="570">
      <c r="A570" s="56"/>
    </row>
    <row r="571">
      <c r="A571" s="56"/>
    </row>
    <row r="572">
      <c r="A572" s="56"/>
    </row>
    <row r="573">
      <c r="A573" s="56"/>
    </row>
    <row r="574">
      <c r="A574" s="56"/>
    </row>
    <row r="575">
      <c r="A575" s="56"/>
    </row>
    <row r="576">
      <c r="A576" s="56"/>
    </row>
    <row r="577">
      <c r="A577" s="56"/>
    </row>
    <row r="578">
      <c r="A578" s="56"/>
    </row>
    <row r="579">
      <c r="A579" s="56"/>
    </row>
    <row r="580">
      <c r="A580" s="56"/>
    </row>
    <row r="581">
      <c r="A581" s="56"/>
    </row>
    <row r="582">
      <c r="A582" s="56"/>
    </row>
    <row r="583">
      <c r="A583" s="56"/>
    </row>
    <row r="584">
      <c r="A584" s="56"/>
    </row>
    <row r="585">
      <c r="A585" s="56"/>
    </row>
    <row r="586">
      <c r="A586" s="56"/>
    </row>
    <row r="587">
      <c r="A587" s="56"/>
    </row>
    <row r="588">
      <c r="A588" s="56"/>
    </row>
    <row r="589">
      <c r="A589" s="56"/>
    </row>
    <row r="590">
      <c r="A590" s="56"/>
    </row>
    <row r="591">
      <c r="A591" s="56"/>
    </row>
    <row r="592">
      <c r="A592" s="56"/>
    </row>
    <row r="593">
      <c r="A593" s="56"/>
    </row>
    <row r="594">
      <c r="A594" s="56"/>
    </row>
    <row r="595">
      <c r="A595" s="56"/>
    </row>
    <row r="596">
      <c r="A596" s="56"/>
    </row>
    <row r="597">
      <c r="A597" s="56"/>
    </row>
    <row r="598">
      <c r="A598" s="56"/>
    </row>
    <row r="599">
      <c r="A599" s="56"/>
    </row>
    <row r="600">
      <c r="A600" s="56"/>
    </row>
    <row r="601">
      <c r="A601" s="56"/>
    </row>
    <row r="602">
      <c r="A602" s="56"/>
    </row>
    <row r="603">
      <c r="A603" s="56"/>
    </row>
    <row r="604">
      <c r="A604" s="56"/>
    </row>
    <row r="605">
      <c r="A605" s="56"/>
    </row>
    <row r="606">
      <c r="A606" s="56"/>
    </row>
    <row r="607">
      <c r="A607" s="56"/>
    </row>
    <row r="608">
      <c r="A608" s="56"/>
    </row>
    <row r="609">
      <c r="A609" s="56"/>
    </row>
    <row r="610">
      <c r="A610" s="56"/>
    </row>
    <row r="611">
      <c r="A611" s="56"/>
    </row>
    <row r="612">
      <c r="A612" s="56"/>
    </row>
    <row r="613">
      <c r="A613" s="56"/>
    </row>
    <row r="614">
      <c r="A614" s="56"/>
    </row>
    <row r="615">
      <c r="A615" s="56"/>
    </row>
    <row r="616">
      <c r="A616" s="56"/>
    </row>
    <row r="617">
      <c r="A617" s="56"/>
    </row>
    <row r="618">
      <c r="A618" s="56"/>
    </row>
    <row r="619">
      <c r="A619" s="56"/>
    </row>
    <row r="620">
      <c r="A620" s="56"/>
    </row>
    <row r="621">
      <c r="A621" s="56"/>
    </row>
    <row r="622">
      <c r="A622" s="56"/>
    </row>
    <row r="623">
      <c r="A623" s="56"/>
    </row>
    <row r="624">
      <c r="A624" s="56"/>
    </row>
    <row r="625">
      <c r="A625" s="56"/>
    </row>
    <row r="626">
      <c r="A626" s="56"/>
    </row>
    <row r="627">
      <c r="A627" s="56"/>
    </row>
    <row r="628">
      <c r="A628" s="56"/>
    </row>
    <row r="629">
      <c r="A629" s="56"/>
    </row>
    <row r="630">
      <c r="A630" s="56"/>
    </row>
    <row r="631">
      <c r="A631" s="56"/>
    </row>
    <row r="632">
      <c r="A632" s="56"/>
    </row>
    <row r="633">
      <c r="A633" s="56"/>
    </row>
    <row r="634">
      <c r="A634" s="56"/>
    </row>
    <row r="635">
      <c r="A635" s="56"/>
    </row>
    <row r="636">
      <c r="A636" s="56"/>
    </row>
    <row r="637">
      <c r="A637" s="56"/>
    </row>
    <row r="638">
      <c r="A638" s="56"/>
    </row>
    <row r="639">
      <c r="A639" s="56"/>
    </row>
    <row r="640">
      <c r="A640" s="56"/>
    </row>
    <row r="641">
      <c r="A641" s="56"/>
    </row>
    <row r="642">
      <c r="A642" s="56"/>
    </row>
    <row r="643">
      <c r="A643" s="56"/>
    </row>
    <row r="644">
      <c r="A644" s="56"/>
    </row>
    <row r="645">
      <c r="A645" s="56"/>
    </row>
    <row r="646">
      <c r="A646" s="56"/>
    </row>
    <row r="647">
      <c r="A647" s="56"/>
    </row>
    <row r="648">
      <c r="A648" s="56"/>
    </row>
    <row r="649">
      <c r="A649" s="56"/>
    </row>
    <row r="650">
      <c r="A650" s="56"/>
    </row>
    <row r="651">
      <c r="A651" s="56"/>
    </row>
    <row r="652">
      <c r="A652" s="56"/>
    </row>
    <row r="653">
      <c r="A653" s="56"/>
    </row>
    <row r="654">
      <c r="A654" s="56"/>
    </row>
    <row r="655">
      <c r="A655" s="56"/>
    </row>
    <row r="656">
      <c r="A656" s="56"/>
    </row>
    <row r="657">
      <c r="A657" s="56"/>
    </row>
    <row r="658">
      <c r="A658" s="56"/>
    </row>
    <row r="659">
      <c r="A659" s="56"/>
    </row>
    <row r="660">
      <c r="A660" s="56"/>
    </row>
    <row r="661">
      <c r="A661" s="56"/>
    </row>
    <row r="662">
      <c r="A662" s="56"/>
    </row>
    <row r="663">
      <c r="A663" s="56"/>
    </row>
    <row r="664">
      <c r="A664" s="56"/>
    </row>
    <row r="665">
      <c r="A665" s="56"/>
    </row>
    <row r="666">
      <c r="A666" s="56"/>
    </row>
    <row r="667">
      <c r="A667" s="56"/>
    </row>
    <row r="668">
      <c r="A668" s="56"/>
    </row>
    <row r="669">
      <c r="A669" s="56"/>
    </row>
    <row r="670">
      <c r="A670" s="56"/>
    </row>
    <row r="671">
      <c r="A671" s="56"/>
    </row>
    <row r="672">
      <c r="A672" s="56"/>
    </row>
    <row r="673">
      <c r="A673" s="56"/>
    </row>
    <row r="674">
      <c r="A674" s="56"/>
    </row>
    <row r="675">
      <c r="A675" s="56"/>
    </row>
    <row r="676">
      <c r="A676" s="56"/>
    </row>
    <row r="677">
      <c r="A677" s="56"/>
    </row>
    <row r="678">
      <c r="A678" s="56"/>
    </row>
    <row r="679">
      <c r="A679" s="56"/>
    </row>
    <row r="680">
      <c r="A680" s="56"/>
    </row>
    <row r="681">
      <c r="A681" s="56"/>
    </row>
    <row r="682">
      <c r="A682" s="56"/>
    </row>
    <row r="683">
      <c r="A683" s="56"/>
    </row>
    <row r="684">
      <c r="A684" s="56"/>
    </row>
    <row r="685">
      <c r="A685" s="56"/>
    </row>
    <row r="686">
      <c r="A686" s="56"/>
    </row>
    <row r="687">
      <c r="A687" s="56"/>
    </row>
    <row r="688">
      <c r="A688" s="56"/>
    </row>
    <row r="689">
      <c r="A689" s="56"/>
    </row>
    <row r="690">
      <c r="A690" s="56"/>
    </row>
    <row r="691">
      <c r="A691" s="56"/>
    </row>
    <row r="692">
      <c r="A692" s="56"/>
    </row>
    <row r="693">
      <c r="A693" s="56"/>
    </row>
    <row r="694">
      <c r="A694" s="56"/>
    </row>
    <row r="695">
      <c r="A695" s="56"/>
    </row>
    <row r="696">
      <c r="A696" s="56"/>
    </row>
    <row r="697">
      <c r="A697" s="56"/>
    </row>
    <row r="698">
      <c r="A698" s="56"/>
    </row>
    <row r="699">
      <c r="A699" s="56"/>
    </row>
    <row r="700">
      <c r="A700" s="56"/>
    </row>
    <row r="701">
      <c r="A701" s="56"/>
    </row>
    <row r="702">
      <c r="A702" s="56"/>
    </row>
    <row r="703">
      <c r="A703" s="56"/>
    </row>
    <row r="704">
      <c r="A704" s="56"/>
    </row>
    <row r="705">
      <c r="A705" s="56"/>
    </row>
    <row r="706">
      <c r="A706" s="56"/>
    </row>
    <row r="707">
      <c r="A707" s="56"/>
    </row>
    <row r="708">
      <c r="A708" s="56"/>
    </row>
    <row r="709">
      <c r="A709" s="56"/>
    </row>
    <row r="710">
      <c r="A710" s="56"/>
    </row>
    <row r="711">
      <c r="A711" s="56"/>
    </row>
    <row r="712">
      <c r="A712" s="56"/>
    </row>
    <row r="713">
      <c r="A713" s="56"/>
    </row>
    <row r="714">
      <c r="A714" s="56"/>
    </row>
    <row r="715">
      <c r="A715" s="56"/>
    </row>
    <row r="716">
      <c r="A716" s="56"/>
    </row>
    <row r="717">
      <c r="A717" s="56"/>
    </row>
    <row r="718">
      <c r="A718" s="56"/>
    </row>
    <row r="719">
      <c r="A719" s="56"/>
    </row>
    <row r="720">
      <c r="A720" s="56"/>
    </row>
    <row r="721">
      <c r="A721" s="56"/>
    </row>
    <row r="722">
      <c r="A722" s="56"/>
    </row>
    <row r="723">
      <c r="A723" s="56"/>
    </row>
    <row r="724">
      <c r="A724" s="56"/>
    </row>
    <row r="725">
      <c r="A725" s="56"/>
    </row>
    <row r="726">
      <c r="A726" s="56"/>
    </row>
    <row r="727">
      <c r="A727" s="56"/>
    </row>
    <row r="728">
      <c r="A728" s="56"/>
    </row>
    <row r="729">
      <c r="A729" s="56"/>
    </row>
    <row r="730">
      <c r="A730" s="56"/>
    </row>
    <row r="731">
      <c r="A731" s="56"/>
    </row>
    <row r="732">
      <c r="A732" s="56"/>
    </row>
    <row r="733">
      <c r="A733" s="56"/>
    </row>
    <row r="734">
      <c r="A734" s="56"/>
    </row>
    <row r="735">
      <c r="A735" s="56"/>
    </row>
    <row r="736">
      <c r="A736" s="56"/>
    </row>
    <row r="737">
      <c r="A737" s="56"/>
    </row>
    <row r="738">
      <c r="A738" s="56"/>
    </row>
    <row r="739">
      <c r="A739" s="56"/>
    </row>
    <row r="740">
      <c r="A740" s="56"/>
    </row>
    <row r="741">
      <c r="A741" s="56"/>
    </row>
    <row r="742">
      <c r="A742" s="56"/>
    </row>
    <row r="743">
      <c r="A743" s="56"/>
    </row>
    <row r="744">
      <c r="A744" s="56"/>
    </row>
    <row r="745">
      <c r="A745" s="56"/>
    </row>
    <row r="746">
      <c r="A746" s="56"/>
    </row>
    <row r="747">
      <c r="A747" s="56"/>
    </row>
    <row r="748">
      <c r="A748" s="56"/>
    </row>
    <row r="749">
      <c r="A749" s="56"/>
    </row>
    <row r="750">
      <c r="A750" s="56"/>
    </row>
    <row r="751">
      <c r="A751" s="56"/>
    </row>
    <row r="752">
      <c r="A752" s="56"/>
    </row>
    <row r="753">
      <c r="A753" s="56"/>
    </row>
    <row r="754">
      <c r="A754" s="56"/>
    </row>
    <row r="755">
      <c r="A755" s="56"/>
    </row>
    <row r="756">
      <c r="A756" s="56"/>
    </row>
    <row r="757">
      <c r="A757" s="56"/>
    </row>
    <row r="758">
      <c r="A758" s="56"/>
    </row>
    <row r="759">
      <c r="A759" s="56"/>
    </row>
    <row r="760">
      <c r="A760" s="56"/>
    </row>
    <row r="761">
      <c r="A761" s="56"/>
    </row>
    <row r="762">
      <c r="A762" s="56"/>
    </row>
    <row r="763">
      <c r="A763" s="56"/>
    </row>
    <row r="764">
      <c r="A764" s="56"/>
    </row>
    <row r="765">
      <c r="A765" s="56"/>
    </row>
    <row r="766">
      <c r="A766" s="56"/>
    </row>
    <row r="767">
      <c r="A767" s="56"/>
    </row>
    <row r="768">
      <c r="A768" s="56"/>
    </row>
    <row r="769">
      <c r="A769" s="56"/>
    </row>
    <row r="770">
      <c r="A770" s="56"/>
    </row>
    <row r="771">
      <c r="A771" s="56"/>
    </row>
    <row r="772">
      <c r="A772" s="56"/>
    </row>
    <row r="773">
      <c r="A773" s="56"/>
    </row>
    <row r="774">
      <c r="A774" s="56"/>
    </row>
    <row r="775">
      <c r="A775" s="56"/>
    </row>
    <row r="776">
      <c r="A776" s="56"/>
    </row>
    <row r="777">
      <c r="A777" s="56"/>
    </row>
    <row r="778">
      <c r="A778" s="56"/>
    </row>
    <row r="779">
      <c r="A779" s="56"/>
    </row>
    <row r="780">
      <c r="A780" s="56"/>
    </row>
    <row r="781">
      <c r="A781" s="56"/>
    </row>
    <row r="782">
      <c r="A782" s="56"/>
    </row>
    <row r="783">
      <c r="A783" s="56"/>
    </row>
    <row r="784">
      <c r="A784" s="56"/>
    </row>
    <row r="785">
      <c r="A785" s="56"/>
    </row>
    <row r="786">
      <c r="A786" s="56"/>
    </row>
    <row r="787">
      <c r="A787" s="56"/>
    </row>
    <row r="788">
      <c r="A788" s="56"/>
    </row>
    <row r="789">
      <c r="A789" s="56"/>
    </row>
    <row r="790">
      <c r="A790" s="56"/>
    </row>
    <row r="791">
      <c r="A791" s="56"/>
    </row>
    <row r="792">
      <c r="A792" s="56"/>
    </row>
    <row r="793">
      <c r="A793" s="56"/>
    </row>
    <row r="794">
      <c r="A794" s="56"/>
    </row>
    <row r="795">
      <c r="A795" s="56"/>
    </row>
    <row r="796">
      <c r="A796" s="56"/>
    </row>
    <row r="797">
      <c r="A797" s="56"/>
    </row>
    <row r="798">
      <c r="A798" s="56"/>
    </row>
    <row r="799">
      <c r="A799" s="56"/>
    </row>
    <row r="800">
      <c r="A800" s="56"/>
    </row>
    <row r="801">
      <c r="A801" s="56"/>
    </row>
    <row r="802">
      <c r="A802" s="56"/>
    </row>
    <row r="803">
      <c r="A803" s="56"/>
    </row>
    <row r="804">
      <c r="A804" s="56"/>
    </row>
    <row r="805">
      <c r="A805" s="56"/>
    </row>
    <row r="806">
      <c r="A806" s="56"/>
    </row>
    <row r="807">
      <c r="A807" s="56"/>
    </row>
    <row r="808">
      <c r="A808" s="56"/>
    </row>
    <row r="809">
      <c r="A809" s="56"/>
    </row>
    <row r="810">
      <c r="A810" s="56"/>
    </row>
    <row r="811">
      <c r="A811" s="56"/>
    </row>
    <row r="812">
      <c r="A812" s="56"/>
    </row>
    <row r="813">
      <c r="A813" s="56"/>
    </row>
    <row r="814">
      <c r="A814" s="56"/>
    </row>
    <row r="815">
      <c r="A815" s="56"/>
    </row>
    <row r="816">
      <c r="A816" s="56"/>
    </row>
    <row r="817">
      <c r="A817" s="56"/>
    </row>
    <row r="818">
      <c r="A818" s="56"/>
    </row>
    <row r="819">
      <c r="A819" s="56"/>
    </row>
    <row r="820">
      <c r="A820" s="56"/>
    </row>
    <row r="821">
      <c r="A821" s="56"/>
    </row>
    <row r="822">
      <c r="A822" s="56"/>
    </row>
    <row r="823">
      <c r="A823" s="56"/>
    </row>
    <row r="824">
      <c r="A824" s="56"/>
    </row>
    <row r="825">
      <c r="A825" s="56"/>
    </row>
    <row r="826">
      <c r="A826" s="56"/>
    </row>
    <row r="827">
      <c r="A827" s="56"/>
    </row>
    <row r="828">
      <c r="A828" s="56"/>
    </row>
    <row r="829">
      <c r="A829" s="56"/>
    </row>
    <row r="830">
      <c r="A830" s="56"/>
    </row>
    <row r="831">
      <c r="A831" s="56"/>
    </row>
    <row r="832">
      <c r="A832" s="56"/>
    </row>
    <row r="833">
      <c r="A833" s="56"/>
    </row>
    <row r="834">
      <c r="A834" s="56"/>
    </row>
    <row r="835">
      <c r="A835" s="56"/>
    </row>
    <row r="836">
      <c r="A836" s="56"/>
    </row>
    <row r="837">
      <c r="A837" s="56"/>
    </row>
    <row r="838">
      <c r="A838" s="56"/>
    </row>
    <row r="839">
      <c r="A839" s="56"/>
    </row>
    <row r="840">
      <c r="A840" s="56"/>
    </row>
    <row r="841">
      <c r="A841" s="56"/>
    </row>
    <row r="842">
      <c r="A842" s="56"/>
    </row>
    <row r="843">
      <c r="A843" s="56"/>
    </row>
    <row r="844">
      <c r="A844" s="56"/>
    </row>
    <row r="845">
      <c r="A845" s="56"/>
    </row>
    <row r="846">
      <c r="A846" s="56"/>
    </row>
    <row r="847">
      <c r="A847" s="56"/>
    </row>
    <row r="848">
      <c r="A848" s="56"/>
    </row>
    <row r="849">
      <c r="A849" s="56"/>
    </row>
    <row r="850">
      <c r="A850" s="56"/>
    </row>
    <row r="851">
      <c r="A851" s="56"/>
    </row>
    <row r="852">
      <c r="A852" s="56"/>
    </row>
    <row r="853">
      <c r="A853" s="56"/>
    </row>
    <row r="854">
      <c r="A854" s="56"/>
    </row>
    <row r="855">
      <c r="A855" s="56"/>
    </row>
    <row r="856">
      <c r="A856" s="56"/>
    </row>
    <row r="857">
      <c r="A857" s="56"/>
    </row>
    <row r="858">
      <c r="A858" s="56"/>
    </row>
    <row r="859">
      <c r="A859" s="56"/>
    </row>
    <row r="860">
      <c r="A860" s="56"/>
    </row>
    <row r="861">
      <c r="A861" s="56"/>
    </row>
    <row r="862">
      <c r="A862" s="56"/>
    </row>
    <row r="863">
      <c r="A863" s="56"/>
    </row>
    <row r="864">
      <c r="A864" s="56"/>
    </row>
    <row r="865">
      <c r="A865" s="56"/>
    </row>
    <row r="866">
      <c r="A866" s="56"/>
    </row>
    <row r="867">
      <c r="A867" s="56"/>
    </row>
    <row r="868">
      <c r="A868" s="56"/>
    </row>
    <row r="869">
      <c r="A869" s="56"/>
    </row>
    <row r="870">
      <c r="A870" s="56"/>
    </row>
    <row r="871">
      <c r="A871" s="56"/>
    </row>
    <row r="872">
      <c r="A872" s="56"/>
    </row>
    <row r="873">
      <c r="A873" s="56"/>
    </row>
    <row r="874">
      <c r="A874" s="56"/>
    </row>
    <row r="875">
      <c r="A875" s="56"/>
    </row>
    <row r="876">
      <c r="A876" s="56"/>
    </row>
    <row r="877">
      <c r="A877" s="56"/>
    </row>
    <row r="878">
      <c r="A878" s="56"/>
    </row>
    <row r="879">
      <c r="A879" s="56"/>
    </row>
    <row r="880">
      <c r="A880" s="56"/>
    </row>
    <row r="881">
      <c r="A881" s="56"/>
    </row>
    <row r="882">
      <c r="A882" s="56"/>
    </row>
    <row r="883">
      <c r="A883" s="56"/>
    </row>
    <row r="884">
      <c r="A884" s="56"/>
    </row>
    <row r="885">
      <c r="A885" s="56"/>
    </row>
    <row r="886">
      <c r="A886" s="56"/>
    </row>
    <row r="887">
      <c r="A887" s="56"/>
    </row>
    <row r="888">
      <c r="A888" s="56"/>
    </row>
    <row r="889">
      <c r="A889" s="56"/>
    </row>
    <row r="890">
      <c r="A890" s="56"/>
    </row>
    <row r="891">
      <c r="A891" s="56"/>
    </row>
    <row r="892">
      <c r="A892" s="56"/>
    </row>
    <row r="893">
      <c r="A893" s="56"/>
    </row>
    <row r="894">
      <c r="A894" s="56"/>
    </row>
    <row r="895">
      <c r="A895" s="56"/>
    </row>
    <row r="896">
      <c r="A896" s="56"/>
    </row>
    <row r="897">
      <c r="A897" s="56"/>
    </row>
    <row r="898">
      <c r="A898" s="56"/>
    </row>
    <row r="899">
      <c r="A899" s="56"/>
    </row>
    <row r="900">
      <c r="A900" s="56"/>
    </row>
    <row r="901">
      <c r="A901" s="56"/>
    </row>
    <row r="902">
      <c r="A902" s="56"/>
    </row>
    <row r="903">
      <c r="A903" s="56"/>
    </row>
    <row r="904">
      <c r="A904" s="56"/>
    </row>
    <row r="905">
      <c r="A905" s="56"/>
    </row>
    <row r="906">
      <c r="A906" s="56"/>
    </row>
    <row r="907">
      <c r="A907" s="56"/>
    </row>
    <row r="908">
      <c r="A908" s="56"/>
    </row>
    <row r="909">
      <c r="A909" s="56"/>
    </row>
    <row r="910">
      <c r="A910" s="56"/>
    </row>
    <row r="911">
      <c r="A911" s="56"/>
    </row>
    <row r="912">
      <c r="A912" s="56"/>
    </row>
    <row r="913">
      <c r="A913" s="56"/>
    </row>
    <row r="914">
      <c r="A914" s="56"/>
    </row>
    <row r="915">
      <c r="A915" s="56"/>
    </row>
    <row r="916">
      <c r="A916" s="56"/>
    </row>
    <row r="917">
      <c r="A917" s="56"/>
    </row>
    <row r="918">
      <c r="A918" s="56"/>
    </row>
    <row r="919">
      <c r="A919" s="56"/>
    </row>
    <row r="920">
      <c r="A920" s="56"/>
    </row>
    <row r="921">
      <c r="A921" s="56"/>
    </row>
    <row r="922">
      <c r="A922" s="56"/>
    </row>
    <row r="923">
      <c r="A923" s="56"/>
    </row>
    <row r="924">
      <c r="A924" s="56"/>
    </row>
    <row r="925">
      <c r="A925" s="56"/>
    </row>
    <row r="926">
      <c r="A926" s="56"/>
    </row>
    <row r="927">
      <c r="A927" s="56"/>
    </row>
    <row r="928">
      <c r="A928" s="56"/>
    </row>
    <row r="929">
      <c r="A929" s="56"/>
    </row>
    <row r="930">
      <c r="A930" s="56"/>
    </row>
    <row r="931">
      <c r="A931" s="56"/>
    </row>
    <row r="932">
      <c r="A932" s="56"/>
    </row>
    <row r="933">
      <c r="A933" s="56"/>
    </row>
    <row r="934">
      <c r="A934" s="56"/>
    </row>
    <row r="935">
      <c r="A935" s="56"/>
    </row>
    <row r="936">
      <c r="A936" s="56"/>
    </row>
    <row r="937">
      <c r="A937" s="56"/>
    </row>
    <row r="938">
      <c r="A938" s="56"/>
    </row>
    <row r="939">
      <c r="A939" s="56"/>
    </row>
    <row r="940">
      <c r="A940" s="56"/>
    </row>
    <row r="941">
      <c r="A941" s="56"/>
    </row>
    <row r="942">
      <c r="A942" s="56"/>
    </row>
    <row r="943">
      <c r="A943" s="56"/>
    </row>
    <row r="944">
      <c r="A944" s="56"/>
    </row>
    <row r="945">
      <c r="A945" s="56"/>
    </row>
    <row r="946">
      <c r="A946" s="56"/>
    </row>
    <row r="947">
      <c r="A947" s="56"/>
    </row>
    <row r="948">
      <c r="A948" s="56"/>
    </row>
    <row r="949">
      <c r="A949" s="56"/>
    </row>
    <row r="950">
      <c r="A950" s="56"/>
    </row>
    <row r="951">
      <c r="A951" s="56"/>
    </row>
    <row r="952">
      <c r="A952" s="56"/>
    </row>
    <row r="953">
      <c r="A953" s="56"/>
    </row>
    <row r="954">
      <c r="A954" s="56"/>
    </row>
    <row r="955">
      <c r="A955" s="56"/>
    </row>
    <row r="956">
      <c r="A956" s="56"/>
    </row>
    <row r="957">
      <c r="A957" s="56"/>
    </row>
    <row r="958">
      <c r="A958" s="56"/>
    </row>
    <row r="959">
      <c r="A959" s="56"/>
    </row>
    <row r="960">
      <c r="A960" s="56"/>
    </row>
    <row r="961">
      <c r="A961" s="56"/>
    </row>
    <row r="962">
      <c r="A962" s="56"/>
    </row>
    <row r="963">
      <c r="A963" s="56"/>
    </row>
    <row r="964">
      <c r="A964" s="56"/>
    </row>
    <row r="965">
      <c r="A965" s="56"/>
    </row>
    <row r="966">
      <c r="A966" s="56"/>
    </row>
    <row r="967">
      <c r="A967" s="56"/>
    </row>
    <row r="968">
      <c r="A968" s="56"/>
    </row>
    <row r="969">
      <c r="A969" s="56"/>
    </row>
    <row r="970">
      <c r="A970" s="56"/>
    </row>
    <row r="971">
      <c r="A971" s="56"/>
    </row>
    <row r="972">
      <c r="A972" s="56"/>
    </row>
    <row r="973">
      <c r="A973" s="56"/>
    </row>
    <row r="974">
      <c r="A974" s="56"/>
    </row>
    <row r="975">
      <c r="A975" s="56"/>
    </row>
    <row r="976">
      <c r="A976" s="56"/>
    </row>
    <row r="977">
      <c r="A977" s="56"/>
    </row>
    <row r="978">
      <c r="A978" s="56"/>
    </row>
    <row r="979">
      <c r="A979" s="56"/>
    </row>
    <row r="980">
      <c r="A980" s="56"/>
    </row>
    <row r="981">
      <c r="A981" s="56"/>
    </row>
    <row r="982">
      <c r="A982" s="56"/>
    </row>
    <row r="983">
      <c r="A983" s="56"/>
    </row>
    <row r="984">
      <c r="A984" s="56"/>
    </row>
    <row r="985">
      <c r="A985" s="56"/>
    </row>
    <row r="986">
      <c r="A986" s="56"/>
    </row>
    <row r="987">
      <c r="A987" s="56"/>
    </row>
    <row r="988">
      <c r="A988" s="56"/>
    </row>
    <row r="989">
      <c r="A989" s="56"/>
    </row>
    <row r="990">
      <c r="A990" s="56"/>
    </row>
    <row r="991">
      <c r="A991" s="56"/>
    </row>
    <row r="992">
      <c r="A992" s="56"/>
    </row>
    <row r="993">
      <c r="A993" s="56"/>
    </row>
    <row r="994">
      <c r="A994" s="56"/>
    </row>
    <row r="995">
      <c r="A995" s="56"/>
    </row>
    <row r="996">
      <c r="A996" s="56"/>
    </row>
    <row r="997">
      <c r="A997" s="56"/>
    </row>
    <row r="998">
      <c r="A998" s="56"/>
    </row>
    <row r="999">
      <c r="A999" s="56"/>
    </row>
  </sheetData>
  <mergeCells count="2">
    <mergeCell ref="A1:J1"/>
    <mergeCell ref="A40:C40"/>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25.13"/>
    <col customWidth="1" min="2" max="2" width="50.13"/>
    <col customWidth="1" min="3" max="3" width="18.88"/>
  </cols>
  <sheetData>
    <row r="1">
      <c r="A1" s="57" t="s">
        <v>268</v>
      </c>
    </row>
    <row r="3">
      <c r="A3" s="58" t="s">
        <v>269</v>
      </c>
      <c r="B3" s="58" t="s">
        <v>270</v>
      </c>
      <c r="C3" s="58" t="s">
        <v>271</v>
      </c>
      <c r="D3" s="58" t="s">
        <v>272</v>
      </c>
      <c r="E3" s="58" t="s">
        <v>273</v>
      </c>
      <c r="F3" s="58" t="s">
        <v>274</v>
      </c>
    </row>
    <row r="4">
      <c r="A4" s="59" t="s">
        <v>23</v>
      </c>
      <c r="B4" s="60">
        <v>46157.0</v>
      </c>
      <c r="C4" s="59" t="s">
        <v>275</v>
      </c>
      <c r="D4" s="59" t="s">
        <v>276</v>
      </c>
      <c r="E4" s="59" t="s">
        <v>277</v>
      </c>
      <c r="F4" s="59" t="s">
        <v>278</v>
      </c>
    </row>
    <row r="5">
      <c r="C5" s="61"/>
    </row>
    <row r="6">
      <c r="A6" s="62" t="s">
        <v>279</v>
      </c>
    </row>
    <row r="7">
      <c r="A7" s="63" t="s">
        <v>280</v>
      </c>
    </row>
    <row r="11">
      <c r="A11" s="62" t="s">
        <v>281</v>
      </c>
    </row>
    <row r="12">
      <c r="A12" s="64" t="s">
        <v>282</v>
      </c>
      <c r="B12" s="64" t="s">
        <v>91</v>
      </c>
      <c r="C12" s="64" t="s">
        <v>283</v>
      </c>
    </row>
    <row r="13">
      <c r="A13" s="65" t="s">
        <v>284</v>
      </c>
      <c r="B13" s="65" t="s">
        <v>285</v>
      </c>
      <c r="C13" s="65" t="s">
        <v>286</v>
      </c>
    </row>
    <row r="14">
      <c r="A14" s="66" t="s">
        <v>90</v>
      </c>
      <c r="B14" s="66" t="s">
        <v>287</v>
      </c>
      <c r="C14" s="66" t="s">
        <v>288</v>
      </c>
    </row>
    <row r="15">
      <c r="A15" s="65" t="s">
        <v>289</v>
      </c>
      <c r="B15" s="65" t="s">
        <v>290</v>
      </c>
      <c r="C15" s="65" t="s">
        <v>291</v>
      </c>
    </row>
    <row r="16">
      <c r="A16" s="66" t="s">
        <v>57</v>
      </c>
      <c r="B16" s="66" t="s">
        <v>292</v>
      </c>
      <c r="C16" s="66" t="s">
        <v>291</v>
      </c>
    </row>
    <row r="17">
      <c r="A17" s="65" t="s">
        <v>76</v>
      </c>
      <c r="B17" s="65" t="s">
        <v>293</v>
      </c>
      <c r="C17" s="65" t="s">
        <v>291</v>
      </c>
    </row>
    <row r="18">
      <c r="A18" s="66" t="s">
        <v>294</v>
      </c>
      <c r="B18" s="66" t="s">
        <v>295</v>
      </c>
      <c r="C18" s="66" t="s">
        <v>296</v>
      </c>
    </row>
    <row r="20">
      <c r="A20" s="62"/>
      <c r="B20" s="67"/>
      <c r="C20" s="67"/>
      <c r="D20" s="67"/>
      <c r="E20" s="67"/>
      <c r="F20" s="67"/>
    </row>
    <row r="21">
      <c r="A21" s="63"/>
    </row>
  </sheetData>
  <mergeCells count="2">
    <mergeCell ref="A7:F9"/>
    <mergeCell ref="A21:F22"/>
  </mergeCells>
  <drawing r:id="rId1"/>
</worksheet>
</file>